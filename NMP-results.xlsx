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s\Desktop\local-laptop\Graduation-SNU-MS\"/>
    </mc:Choice>
  </mc:AlternateContent>
  <xr:revisionPtr revIDLastSave="0" documentId="13_ncr:1_{749B1F0A-56FB-4AD1-BCBD-B9D90F545AF6}" xr6:coauthVersionLast="47" xr6:coauthVersionMax="47" xr10:uidLastSave="{00000000-0000-0000-0000-000000000000}"/>
  <bookViews>
    <workbookView xWindow="-120" yWindow="-120" windowWidth="38640" windowHeight="21120" xr2:uid="{60CE0878-0666-4B9A-8745-49D72B66A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144" i="1" l="1"/>
  <c r="AA142" i="1"/>
  <c r="AA143" i="1" s="1"/>
  <c r="AB142" i="1"/>
  <c r="AB143" i="1" s="1"/>
  <c r="AC142" i="1"/>
  <c r="AC143" i="1" s="1"/>
  <c r="AD142" i="1"/>
  <c r="AD143" i="1" s="1"/>
  <c r="AE142" i="1"/>
  <c r="AE143" i="1" s="1"/>
  <c r="AF142" i="1"/>
  <c r="AF143" i="1" s="1"/>
  <c r="Z141" i="1"/>
  <c r="Z142" i="1" s="1"/>
  <c r="Z143" i="1" s="1"/>
  <c r="U138" i="1"/>
  <c r="T138" i="1"/>
  <c r="S138" i="1"/>
  <c r="R138" i="1"/>
  <c r="Q138" i="1"/>
  <c r="U137" i="1"/>
  <c r="T137" i="1"/>
  <c r="S137" i="1"/>
  <c r="R137" i="1"/>
  <c r="Q137" i="1"/>
  <c r="U136" i="1"/>
  <c r="T136" i="1"/>
  <c r="S136" i="1"/>
  <c r="R136" i="1"/>
  <c r="Q136" i="1"/>
  <c r="U135" i="1"/>
  <c r="T135" i="1"/>
  <c r="S135" i="1"/>
  <c r="R135" i="1"/>
  <c r="Q135" i="1"/>
  <c r="U134" i="1"/>
  <c r="T134" i="1"/>
  <c r="S134" i="1"/>
  <c r="R134" i="1"/>
  <c r="Q134" i="1"/>
  <c r="U133" i="1"/>
  <c r="T133" i="1"/>
  <c r="S133" i="1"/>
  <c r="R133" i="1"/>
  <c r="Q133" i="1"/>
  <c r="U132" i="1"/>
  <c r="T132" i="1"/>
  <c r="S132" i="1"/>
  <c r="R132" i="1"/>
  <c r="Q132" i="1"/>
  <c r="U131" i="1"/>
  <c r="T131" i="1"/>
  <c r="S131" i="1"/>
  <c r="R131" i="1"/>
  <c r="Q131" i="1"/>
  <c r="U130" i="1"/>
  <c r="T130" i="1"/>
  <c r="S130" i="1"/>
  <c r="R130" i="1"/>
  <c r="Q130" i="1"/>
  <c r="U129" i="1"/>
  <c r="T129" i="1"/>
  <c r="S129" i="1"/>
  <c r="R129" i="1"/>
  <c r="Q129" i="1"/>
  <c r="U128" i="1"/>
  <c r="T128" i="1"/>
  <c r="S128" i="1"/>
  <c r="R128" i="1"/>
  <c r="Q128" i="1"/>
  <c r="U127" i="1"/>
  <c r="T127" i="1"/>
  <c r="S127" i="1"/>
  <c r="R127" i="1"/>
  <c r="Q127" i="1"/>
  <c r="U126" i="1"/>
  <c r="T126" i="1"/>
  <c r="S126" i="1"/>
  <c r="R126" i="1"/>
  <c r="Q126" i="1"/>
  <c r="U125" i="1"/>
  <c r="T125" i="1"/>
  <c r="S125" i="1"/>
  <c r="R125" i="1"/>
  <c r="Q125" i="1"/>
  <c r="U124" i="1"/>
  <c r="T124" i="1"/>
  <c r="S124" i="1"/>
  <c r="R124" i="1"/>
  <c r="Q124" i="1"/>
  <c r="U123" i="1"/>
  <c r="T123" i="1"/>
  <c r="S123" i="1"/>
  <c r="R123" i="1"/>
  <c r="Q123" i="1"/>
  <c r="U122" i="1"/>
  <c r="T122" i="1"/>
  <c r="S122" i="1"/>
  <c r="R122" i="1"/>
  <c r="Q122" i="1"/>
  <c r="U121" i="1"/>
  <c r="T121" i="1"/>
  <c r="S121" i="1"/>
  <c r="R121" i="1"/>
  <c r="Q121" i="1"/>
  <c r="U120" i="1"/>
  <c r="T120" i="1"/>
  <c r="S120" i="1"/>
  <c r="R120" i="1"/>
  <c r="Q120" i="1"/>
  <c r="U119" i="1"/>
  <c r="T119" i="1"/>
  <c r="S119" i="1"/>
  <c r="R119" i="1"/>
  <c r="Q119" i="1"/>
  <c r="U118" i="1"/>
  <c r="T118" i="1"/>
  <c r="S118" i="1"/>
  <c r="R118" i="1"/>
  <c r="Q118" i="1"/>
  <c r="U117" i="1"/>
  <c r="T117" i="1"/>
  <c r="S117" i="1"/>
  <c r="R117" i="1"/>
  <c r="Q117" i="1"/>
  <c r="U116" i="1"/>
  <c r="T116" i="1"/>
  <c r="S116" i="1"/>
  <c r="R116" i="1"/>
  <c r="Q116" i="1"/>
  <c r="U115" i="1"/>
  <c r="T115" i="1"/>
  <c r="S115" i="1"/>
  <c r="R115" i="1"/>
  <c r="Q115" i="1"/>
  <c r="U114" i="1"/>
  <c r="T114" i="1"/>
  <c r="S114" i="1"/>
  <c r="R114" i="1"/>
  <c r="Q114" i="1"/>
  <c r="U113" i="1"/>
  <c r="T113" i="1"/>
  <c r="S113" i="1"/>
  <c r="R113" i="1"/>
  <c r="Q113" i="1"/>
  <c r="U112" i="1"/>
  <c r="T112" i="1"/>
  <c r="S112" i="1"/>
  <c r="R112" i="1"/>
  <c r="Q112" i="1"/>
  <c r="U111" i="1"/>
  <c r="T111" i="1"/>
  <c r="S111" i="1"/>
  <c r="R111" i="1"/>
  <c r="Q111" i="1"/>
  <c r="U110" i="1"/>
  <c r="T110" i="1"/>
  <c r="S110" i="1"/>
  <c r="R110" i="1"/>
  <c r="Q110" i="1"/>
  <c r="U109" i="1"/>
  <c r="T109" i="1"/>
  <c r="S109" i="1"/>
  <c r="R109" i="1"/>
  <c r="Q109" i="1"/>
  <c r="U108" i="1"/>
  <c r="T108" i="1"/>
  <c r="S108" i="1"/>
  <c r="R108" i="1"/>
  <c r="Q108" i="1"/>
  <c r="U107" i="1"/>
  <c r="T107" i="1"/>
  <c r="S107" i="1"/>
  <c r="R107" i="1"/>
  <c r="Q107" i="1"/>
  <c r="U106" i="1"/>
  <c r="T106" i="1"/>
  <c r="S106" i="1"/>
  <c r="R106" i="1"/>
  <c r="Q106" i="1"/>
  <c r="U105" i="1"/>
  <c r="T105" i="1"/>
  <c r="S105" i="1"/>
  <c r="R105" i="1"/>
  <c r="Q105" i="1"/>
  <c r="U104" i="1"/>
  <c r="T104" i="1"/>
  <c r="S104" i="1"/>
  <c r="R104" i="1"/>
  <c r="Q104" i="1"/>
  <c r="U103" i="1"/>
  <c r="T103" i="1"/>
  <c r="S103" i="1"/>
  <c r="R103" i="1"/>
  <c r="Q103" i="1"/>
  <c r="U102" i="1"/>
  <c r="T102" i="1"/>
  <c r="S102" i="1"/>
  <c r="R102" i="1"/>
  <c r="Q102" i="1"/>
  <c r="U101" i="1"/>
  <c r="T101" i="1"/>
  <c r="S101" i="1"/>
  <c r="R101" i="1"/>
  <c r="Q101" i="1"/>
  <c r="U100" i="1"/>
  <c r="T100" i="1"/>
  <c r="S100" i="1"/>
  <c r="R100" i="1"/>
  <c r="Q100" i="1"/>
  <c r="U99" i="1"/>
  <c r="T99" i="1"/>
  <c r="S99" i="1"/>
  <c r="R99" i="1"/>
  <c r="Q99" i="1"/>
  <c r="U98" i="1"/>
  <c r="T98" i="1"/>
  <c r="S98" i="1"/>
  <c r="R98" i="1"/>
  <c r="Q98" i="1"/>
  <c r="U97" i="1"/>
  <c r="T97" i="1"/>
  <c r="S97" i="1"/>
  <c r="R97" i="1"/>
  <c r="Q97" i="1"/>
  <c r="U92" i="1"/>
  <c r="T92" i="1"/>
  <c r="S92" i="1"/>
  <c r="R92" i="1"/>
  <c r="Q92" i="1"/>
  <c r="U91" i="1"/>
  <c r="T91" i="1"/>
  <c r="S91" i="1"/>
  <c r="R91" i="1"/>
  <c r="Q91" i="1"/>
  <c r="U90" i="1"/>
  <c r="T90" i="1"/>
  <c r="S90" i="1"/>
  <c r="R90" i="1"/>
  <c r="Q90" i="1"/>
  <c r="U89" i="1"/>
  <c r="T89" i="1"/>
  <c r="S89" i="1"/>
  <c r="R89" i="1"/>
  <c r="Q89" i="1"/>
  <c r="U88" i="1"/>
  <c r="T88" i="1"/>
  <c r="S88" i="1"/>
  <c r="R88" i="1"/>
  <c r="Q88" i="1"/>
  <c r="U87" i="1"/>
  <c r="T87" i="1"/>
  <c r="S87" i="1"/>
  <c r="R87" i="1"/>
  <c r="Q87" i="1"/>
  <c r="U86" i="1"/>
  <c r="T86" i="1"/>
  <c r="S86" i="1"/>
  <c r="R86" i="1"/>
  <c r="Q86" i="1"/>
  <c r="U85" i="1"/>
  <c r="T85" i="1"/>
  <c r="S85" i="1"/>
  <c r="R85" i="1"/>
  <c r="Q85" i="1"/>
  <c r="U84" i="1"/>
  <c r="T84" i="1"/>
  <c r="S84" i="1"/>
  <c r="R84" i="1"/>
  <c r="Q84" i="1"/>
  <c r="U83" i="1"/>
  <c r="T83" i="1"/>
  <c r="S83" i="1"/>
  <c r="R83" i="1"/>
  <c r="Q83" i="1"/>
  <c r="U82" i="1"/>
  <c r="T82" i="1"/>
  <c r="S82" i="1"/>
  <c r="R82" i="1"/>
  <c r="Q82" i="1"/>
  <c r="U81" i="1"/>
  <c r="T81" i="1"/>
  <c r="S81" i="1"/>
  <c r="R81" i="1"/>
  <c r="Q81" i="1"/>
  <c r="U80" i="1"/>
  <c r="T80" i="1"/>
  <c r="S80" i="1"/>
  <c r="R80" i="1"/>
  <c r="Q80" i="1"/>
  <c r="U79" i="1"/>
  <c r="T79" i="1"/>
  <c r="S79" i="1"/>
  <c r="R79" i="1"/>
  <c r="Q79" i="1"/>
  <c r="U78" i="1"/>
  <c r="T78" i="1"/>
  <c r="S78" i="1"/>
  <c r="R78" i="1"/>
  <c r="Q78" i="1"/>
  <c r="U77" i="1"/>
  <c r="T77" i="1"/>
  <c r="S77" i="1"/>
  <c r="R77" i="1"/>
  <c r="Q77" i="1"/>
  <c r="U76" i="1"/>
  <c r="T76" i="1"/>
  <c r="S76" i="1"/>
  <c r="R76" i="1"/>
  <c r="Q76" i="1"/>
  <c r="U75" i="1"/>
  <c r="T75" i="1"/>
  <c r="S75" i="1"/>
  <c r="R75" i="1"/>
  <c r="Q75" i="1"/>
  <c r="U74" i="1"/>
  <c r="T74" i="1"/>
  <c r="S74" i="1"/>
  <c r="R74" i="1"/>
  <c r="Q74" i="1"/>
  <c r="U73" i="1"/>
  <c r="T73" i="1"/>
  <c r="S73" i="1"/>
  <c r="R73" i="1"/>
  <c r="Q73" i="1"/>
  <c r="U72" i="1"/>
  <c r="T72" i="1"/>
  <c r="S72" i="1"/>
  <c r="R72" i="1"/>
  <c r="Q72" i="1"/>
  <c r="U71" i="1"/>
  <c r="T71" i="1"/>
  <c r="S71" i="1"/>
  <c r="R71" i="1"/>
  <c r="Q71" i="1"/>
  <c r="U70" i="1"/>
  <c r="T70" i="1"/>
  <c r="S70" i="1"/>
  <c r="R70" i="1"/>
  <c r="Q70" i="1"/>
  <c r="U69" i="1"/>
  <c r="T69" i="1"/>
  <c r="S69" i="1"/>
  <c r="R69" i="1"/>
  <c r="Q69" i="1"/>
  <c r="U68" i="1"/>
  <c r="T68" i="1"/>
  <c r="S68" i="1"/>
  <c r="R68" i="1"/>
  <c r="Q68" i="1"/>
  <c r="U67" i="1"/>
  <c r="T67" i="1"/>
  <c r="S67" i="1"/>
  <c r="R67" i="1"/>
  <c r="Q67" i="1"/>
  <c r="U66" i="1"/>
  <c r="T66" i="1"/>
  <c r="S66" i="1"/>
  <c r="R66" i="1"/>
  <c r="Q66" i="1"/>
  <c r="U65" i="1"/>
  <c r="T65" i="1"/>
  <c r="S65" i="1"/>
  <c r="R65" i="1"/>
  <c r="Q65" i="1"/>
  <c r="U64" i="1"/>
  <c r="T64" i="1"/>
  <c r="S64" i="1"/>
  <c r="R64" i="1"/>
  <c r="Q64" i="1"/>
  <c r="U63" i="1"/>
  <c r="T63" i="1"/>
  <c r="S63" i="1"/>
  <c r="R63" i="1"/>
  <c r="Q63" i="1"/>
  <c r="U62" i="1"/>
  <c r="T62" i="1"/>
  <c r="S62" i="1"/>
  <c r="R62" i="1"/>
  <c r="Q62" i="1"/>
  <c r="U61" i="1"/>
  <c r="T61" i="1"/>
  <c r="S61" i="1"/>
  <c r="R61" i="1"/>
  <c r="Q61" i="1"/>
  <c r="U60" i="1"/>
  <c r="T60" i="1"/>
  <c r="S60" i="1"/>
  <c r="R60" i="1"/>
  <c r="Q60" i="1"/>
  <c r="U59" i="1"/>
  <c r="T59" i="1"/>
  <c r="S59" i="1"/>
  <c r="R59" i="1"/>
  <c r="Q59" i="1"/>
  <c r="U58" i="1"/>
  <c r="T58" i="1"/>
  <c r="S58" i="1"/>
  <c r="R58" i="1"/>
  <c r="Q58" i="1"/>
  <c r="U57" i="1"/>
  <c r="T57" i="1"/>
  <c r="S57" i="1"/>
  <c r="R57" i="1"/>
  <c r="Q57" i="1"/>
  <c r="U56" i="1"/>
  <c r="T56" i="1"/>
  <c r="S56" i="1"/>
  <c r="R56" i="1"/>
  <c r="Q56" i="1"/>
  <c r="U55" i="1"/>
  <c r="T55" i="1"/>
  <c r="S55" i="1"/>
  <c r="R55" i="1"/>
  <c r="Q55" i="1"/>
  <c r="U54" i="1"/>
  <c r="T54" i="1"/>
  <c r="S54" i="1"/>
  <c r="R54" i="1"/>
  <c r="Q54" i="1"/>
  <c r="U53" i="1"/>
  <c r="T53" i="1"/>
  <c r="S53" i="1"/>
  <c r="R53" i="1"/>
  <c r="Q53" i="1"/>
  <c r="U52" i="1"/>
  <c r="T52" i="1"/>
  <c r="S52" i="1"/>
  <c r="R52" i="1"/>
  <c r="Q52" i="1"/>
  <c r="U51" i="1"/>
  <c r="T51" i="1"/>
  <c r="S51" i="1"/>
  <c r="R51" i="1"/>
  <c r="Q51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</calcChain>
</file>

<file path=xl/sharedStrings.xml><?xml version="1.0" encoding="utf-8"?>
<sst xmlns="http://schemas.openxmlformats.org/spreadsheetml/2006/main" count="45" uniqueCount="17">
  <si>
    <t>1k</t>
  </si>
  <si>
    <t>elastic_Vt_loss</t>
  </si>
  <si>
    <t>77K total</t>
  </si>
  <si>
    <t>77K inelastic</t>
  </si>
  <si>
    <t>150K total</t>
  </si>
  <si>
    <t>150K inelastic</t>
  </si>
  <si>
    <t>300K total</t>
  </si>
  <si>
    <t>300K inelastic</t>
  </si>
  <si>
    <t>400K total</t>
  </si>
  <si>
    <t>400K inelastic</t>
  </si>
  <si>
    <t>500K total</t>
  </si>
  <si>
    <t>500K inelastic</t>
  </si>
  <si>
    <t>600K total</t>
  </si>
  <si>
    <t>600K inelastic</t>
  </si>
  <si>
    <t>time</t>
    <phoneticPr fontId="1" type="noConversion"/>
  </si>
  <si>
    <t>10k</t>
    <phoneticPr fontId="1" type="noConversion"/>
  </si>
  <si>
    <t>50k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</si>
</sst>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0" fontId="0" fillId="0" borderId="0" xfId="0" applyNumberFormat="1">
      <alignment vertical="center"/>
    </xf>
    <xf numFmtId="10" fontId="2" fillId="0" borderId="0" xfId="0" applyNumberFormat="1" applyFont="1" applyAlignment="1">
      <alignment horizontal="left" vertical="center" readingOrder="1"/>
    </xf>
    <xf numFmtId="18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1BB0-6447-4D9A-B205-C31345613BAC}">
  <dimension ref="B2:AH144"/>
  <sheetViews>
    <sheetView tabSelected="1" workbookViewId="0">
      <selection activeCell="Z141" sqref="Z141:AH144"/>
    </sheetView>
  </sheetViews>
  <sheetFormatPr defaultRowHeight="16.5" x14ac:dyDescent="0.3"/>
  <cols>
    <col min="2" max="2" width="9.25" bestFit="1" customWidth="1"/>
    <col min="3" max="3" width="13.625" bestFit="1" customWidth="1"/>
    <col min="4" max="4" width="9.125" bestFit="1" customWidth="1"/>
    <col min="5" max="5" width="12.375" bestFit="1" customWidth="1"/>
    <col min="6" max="6" width="10.125" bestFit="1" customWidth="1"/>
    <col min="7" max="7" width="13.5" bestFit="1" customWidth="1"/>
    <col min="8" max="8" width="10.125" bestFit="1" customWidth="1"/>
    <col min="9" max="9" width="13.5" bestFit="1" customWidth="1"/>
    <col min="10" max="10" width="10.125" bestFit="1" customWidth="1"/>
    <col min="11" max="11" width="13.5" bestFit="1" customWidth="1"/>
    <col min="12" max="12" width="10.125" bestFit="1" customWidth="1"/>
    <col min="13" max="13" width="13.5" bestFit="1" customWidth="1"/>
    <col min="14" max="14" width="10.125" bestFit="1" customWidth="1"/>
    <col min="15" max="15" width="13.5" bestFit="1" customWidth="1"/>
    <col min="16" max="16" width="9.25" bestFit="1" customWidth="1"/>
  </cols>
  <sheetData>
    <row r="2" spans="2:2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2:22" x14ac:dyDescent="0.3">
      <c r="B3" t="s">
        <v>14</v>
      </c>
    </row>
    <row r="4" spans="2:22" x14ac:dyDescent="0.3">
      <c r="B4" s="1">
        <v>9.9999999999999994E-12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2:22" x14ac:dyDescent="0.3">
      <c r="B5" s="1">
        <v>1.0000000000000001E-9</v>
      </c>
      <c r="C5" s="1">
        <v>3.7309299999999999E-7</v>
      </c>
      <c r="D5" s="1">
        <v>3.2108100000000001E-6</v>
      </c>
      <c r="E5" s="1">
        <v>2.8377200000000001E-6</v>
      </c>
      <c r="F5" s="1">
        <v>3.2551200000000001E-6</v>
      </c>
      <c r="G5" s="1">
        <v>2.8820300000000001E-6</v>
      </c>
      <c r="H5" s="1">
        <v>3.6886999999999999E-6</v>
      </c>
      <c r="I5" s="1">
        <v>3.3156000000000001E-6</v>
      </c>
      <c r="J5" s="1">
        <v>4.10423E-6</v>
      </c>
      <c r="K5" s="1">
        <v>3.7311300000000001E-6</v>
      </c>
      <c r="L5" s="1">
        <v>4.5362400000000001E-6</v>
      </c>
      <c r="M5" s="1">
        <v>4.1631500000000001E-6</v>
      </c>
      <c r="N5" s="1">
        <v>4.9585199999999997E-6</v>
      </c>
      <c r="O5" s="1">
        <v>4.5854299999999997E-6</v>
      </c>
      <c r="P5" s="1">
        <v>0</v>
      </c>
      <c r="Q5" s="2">
        <f>G5/F5</f>
        <v>0.8853836417705031</v>
      </c>
      <c r="R5" s="2">
        <f>I5/H5</f>
        <v>0.8988532545341178</v>
      </c>
      <c r="S5" s="2">
        <f>K5/J5</f>
        <v>0.90909378860346524</v>
      </c>
      <c r="T5" s="2">
        <f>M5/L5</f>
        <v>0.9177534698340476</v>
      </c>
      <c r="U5" s="2">
        <f>O5/N5</f>
        <v>0.92475779063107544</v>
      </c>
      <c r="V5" s="2"/>
    </row>
    <row r="6" spans="2:22" x14ac:dyDescent="0.3">
      <c r="B6" s="1">
        <v>1E-8</v>
      </c>
      <c r="C6" s="1">
        <v>3.7112300000000001E-6</v>
      </c>
      <c r="D6" s="1">
        <v>1.6080399999999999E-5</v>
      </c>
      <c r="E6" s="1">
        <v>1.23692E-5</v>
      </c>
      <c r="F6" s="1">
        <v>1.6203100000000001E-5</v>
      </c>
      <c r="G6" s="1">
        <v>1.24918E-5</v>
      </c>
      <c r="H6" s="1">
        <v>1.7386900000000001E-5</v>
      </c>
      <c r="I6" s="1">
        <v>1.36757E-5</v>
      </c>
      <c r="J6" s="1">
        <v>1.8501000000000001E-5</v>
      </c>
      <c r="K6" s="1">
        <v>1.47897E-5</v>
      </c>
      <c r="L6" s="1">
        <v>1.9647799999999998E-5</v>
      </c>
      <c r="M6" s="1">
        <v>1.5936599999999999E-5</v>
      </c>
      <c r="N6" s="1">
        <v>2.07656E-5</v>
      </c>
      <c r="O6" s="1">
        <v>1.7054400000000001E-5</v>
      </c>
      <c r="P6" s="1">
        <v>0</v>
      </c>
      <c r="Q6" s="2">
        <f>G6/F6</f>
        <v>0.77095123772611407</v>
      </c>
      <c r="R6" s="2">
        <f>I6/H6</f>
        <v>0.78655194427988884</v>
      </c>
      <c r="S6" s="2">
        <f>K6/J6</f>
        <v>0.79940003243067936</v>
      </c>
      <c r="T6" s="2">
        <f>M6/L6</f>
        <v>0.81111371247671493</v>
      </c>
      <c r="U6" s="2">
        <f>O6/N6</f>
        <v>0.82128134992487578</v>
      </c>
      <c r="V6" s="2"/>
    </row>
    <row r="7" spans="2:22" x14ac:dyDescent="0.3">
      <c r="B7" s="1">
        <v>9.9999999999999995E-8</v>
      </c>
      <c r="C7" s="1">
        <v>3.2639899999999999E-5</v>
      </c>
      <c r="D7" s="1">
        <v>6.4522800000000005E-5</v>
      </c>
      <c r="E7" s="1">
        <v>3.1882799999999999E-5</v>
      </c>
      <c r="F7" s="1">
        <v>6.4828599999999998E-5</v>
      </c>
      <c r="G7" s="1">
        <v>3.2188699999999999E-5</v>
      </c>
      <c r="H7" s="1">
        <v>6.7781199999999994E-5</v>
      </c>
      <c r="I7" s="1">
        <v>3.5141300000000002E-5</v>
      </c>
      <c r="J7" s="1">
        <v>7.0563199999999996E-5</v>
      </c>
      <c r="K7" s="1">
        <v>3.7923300000000003E-5</v>
      </c>
      <c r="L7" s="1">
        <v>7.3433099999999993E-5</v>
      </c>
      <c r="M7" s="1">
        <v>4.0793100000000001E-5</v>
      </c>
      <c r="N7" s="1">
        <v>7.6237799999999997E-5</v>
      </c>
      <c r="O7" s="1">
        <v>4.3597899999999998E-5</v>
      </c>
      <c r="P7" s="1">
        <v>0</v>
      </c>
      <c r="Q7" s="2">
        <f>G7/F7</f>
        <v>0.49652005442042557</v>
      </c>
      <c r="R7" s="2">
        <f>I7/H7</f>
        <v>0.51845201914395145</v>
      </c>
      <c r="S7" s="2">
        <f>K7/J7</f>
        <v>0.5374373611174097</v>
      </c>
      <c r="T7" s="2">
        <f>M7/L7</f>
        <v>0.55551379418817948</v>
      </c>
      <c r="U7" s="2">
        <f>O7/N7</f>
        <v>0.57186723646275206</v>
      </c>
      <c r="V7" s="2"/>
    </row>
    <row r="8" spans="2:22" x14ac:dyDescent="0.3">
      <c r="B8" s="1">
        <v>9.9999999999999995E-7</v>
      </c>
      <c r="C8" s="1">
        <v>1.7516100000000001E-4</v>
      </c>
      <c r="D8" s="1">
        <v>2.3219700000000001E-4</v>
      </c>
      <c r="E8" s="1">
        <v>5.7036100000000001E-5</v>
      </c>
      <c r="F8" s="1">
        <v>2.32931E-4</v>
      </c>
      <c r="G8" s="1">
        <v>5.7769999999999997E-5</v>
      </c>
      <c r="H8" s="1">
        <v>2.4004500000000001E-4</v>
      </c>
      <c r="I8" s="1">
        <v>6.4883700000000004E-5</v>
      </c>
      <c r="J8" s="1">
        <v>2.4675899999999999E-4</v>
      </c>
      <c r="K8" s="1">
        <v>7.1597899999999994E-5</v>
      </c>
      <c r="L8" s="1">
        <v>2.5365799999999998E-4</v>
      </c>
      <c r="M8" s="1">
        <v>7.8496699999999997E-5</v>
      </c>
      <c r="N8" s="1">
        <v>2.60349E-4</v>
      </c>
      <c r="O8" s="1">
        <v>8.5187599999999997E-5</v>
      </c>
      <c r="P8" s="1">
        <v>0</v>
      </c>
      <c r="Q8" s="2">
        <f>G8/F8</f>
        <v>0.248013360179624</v>
      </c>
      <c r="R8" s="2">
        <f>I8/H8</f>
        <v>0.27029806911204152</v>
      </c>
      <c r="S8" s="2">
        <f>K8/J8</f>
        <v>0.29015314537666304</v>
      </c>
      <c r="T8" s="2">
        <f>M8/L8</f>
        <v>0.30945879885515143</v>
      </c>
      <c r="U8" s="2">
        <f>O8/N8</f>
        <v>0.32720540505244883</v>
      </c>
      <c r="V8" s="2"/>
    </row>
    <row r="9" spans="2:22" x14ac:dyDescent="0.3">
      <c r="B9" s="1">
        <v>1.0000000000000001E-5</v>
      </c>
      <c r="C9" s="1">
        <v>6.0252700000000005E-4</v>
      </c>
      <c r="D9" s="1">
        <v>6.91441E-4</v>
      </c>
      <c r="E9" s="1">
        <v>8.8913199999999994E-5</v>
      </c>
      <c r="F9" s="1">
        <v>6.92784E-4</v>
      </c>
      <c r="G9" s="1">
        <v>9.02568E-5</v>
      </c>
      <c r="H9" s="1">
        <v>7.0597599999999998E-4</v>
      </c>
      <c r="I9" s="1">
        <v>1.0344900000000001E-4</v>
      </c>
      <c r="J9" s="1">
        <v>7.1864900000000002E-4</v>
      </c>
      <c r="K9" s="1">
        <v>1.16122E-4</v>
      </c>
      <c r="L9" s="1">
        <v>7.3180399999999996E-4</v>
      </c>
      <c r="M9" s="1">
        <v>1.2927699999999999E-4</v>
      </c>
      <c r="N9" s="1">
        <v>7.4460300000000004E-4</v>
      </c>
      <c r="O9" s="1">
        <v>1.4207600000000001E-4</v>
      </c>
      <c r="P9" s="1">
        <v>0</v>
      </c>
      <c r="Q9" s="2">
        <f>G9/F9</f>
        <v>0.13028129979907158</v>
      </c>
      <c r="R9" s="2">
        <f>I9/H9</f>
        <v>0.14653330991421806</v>
      </c>
      <c r="S9" s="2">
        <f>K9/J9</f>
        <v>0.16158374950775692</v>
      </c>
      <c r="T9" s="2">
        <f>M9/L9</f>
        <v>0.17665522462298647</v>
      </c>
      <c r="U9" s="2">
        <f>O9/N9</f>
        <v>0.19080771901268193</v>
      </c>
      <c r="V9" s="2"/>
    </row>
    <row r="10" spans="2:22" x14ac:dyDescent="0.3">
      <c r="B10" s="1">
        <v>1E-4</v>
      </c>
      <c r="C10">
        <v>1.4599999999999999E-3</v>
      </c>
      <c r="D10">
        <v>1.5499999999999999E-3</v>
      </c>
      <c r="E10" s="1">
        <v>8.7241200000000001E-5</v>
      </c>
      <c r="F10">
        <v>1.5499999999999999E-3</v>
      </c>
      <c r="G10" s="1">
        <v>8.8688000000000002E-5</v>
      </c>
      <c r="H10">
        <v>1.56E-3</v>
      </c>
      <c r="I10" s="1">
        <v>1.03117E-4</v>
      </c>
      <c r="J10">
        <v>1.58E-3</v>
      </c>
      <c r="K10" s="1">
        <v>1.1735699999999999E-4</v>
      </c>
      <c r="L10">
        <v>1.5900000000000001E-3</v>
      </c>
      <c r="M10" s="1">
        <v>1.32504E-4</v>
      </c>
      <c r="N10">
        <v>1.6100000000000001E-3</v>
      </c>
      <c r="O10" s="1">
        <v>1.4755500000000001E-4</v>
      </c>
      <c r="P10" s="1">
        <v>0</v>
      </c>
      <c r="Q10" s="2">
        <f>G10/F10</f>
        <v>5.7218064516129034E-2</v>
      </c>
      <c r="R10" s="2">
        <f>I10/H10</f>
        <v>6.6100641025641019E-2</v>
      </c>
      <c r="S10" s="2">
        <f>K10/J10</f>
        <v>7.427658227848101E-2</v>
      </c>
      <c r="T10" s="2">
        <f>M10/L10</f>
        <v>8.3335849056603767E-2</v>
      </c>
      <c r="U10" s="2">
        <f>O10/N10</f>
        <v>9.1649068322981364E-2</v>
      </c>
      <c r="V10" s="2"/>
    </row>
    <row r="11" spans="2:22" x14ac:dyDescent="0.3">
      <c r="B11" s="1">
        <v>1E-3</v>
      </c>
      <c r="C11">
        <v>2.47E-3</v>
      </c>
      <c r="D11">
        <v>2.5200000000000001E-3</v>
      </c>
      <c r="E11" s="1">
        <v>5.0385500000000001E-5</v>
      </c>
      <c r="F11">
        <v>2.5200000000000001E-3</v>
      </c>
      <c r="G11" s="1">
        <v>5.1262399999999999E-5</v>
      </c>
      <c r="H11">
        <v>2.5300000000000001E-3</v>
      </c>
      <c r="I11" s="1">
        <v>6.0100399999999998E-5</v>
      </c>
      <c r="J11">
        <v>2.5400000000000002E-3</v>
      </c>
      <c r="K11" s="1">
        <v>6.8999999999999997E-5</v>
      </c>
      <c r="L11">
        <v>2.5500000000000002E-3</v>
      </c>
      <c r="M11" s="1">
        <v>7.8680500000000007E-5</v>
      </c>
      <c r="N11">
        <v>2.5600000000000002E-3</v>
      </c>
      <c r="O11" s="1">
        <v>8.8533699999999996E-5</v>
      </c>
      <c r="P11" s="1">
        <v>0</v>
      </c>
      <c r="Q11" s="2">
        <f>G11/F11</f>
        <v>2.034222222222222E-2</v>
      </c>
      <c r="R11" s="2">
        <f>I11/H11</f>
        <v>2.3755098814229245E-2</v>
      </c>
      <c r="S11" s="2">
        <f>K11/J11</f>
        <v>2.7165354330708658E-2</v>
      </c>
      <c r="T11" s="2">
        <f>M11/L11</f>
        <v>3.0855098039215687E-2</v>
      </c>
      <c r="U11" s="2">
        <f>O11/N11</f>
        <v>3.4583476562499993E-2</v>
      </c>
      <c r="V11" s="2"/>
    </row>
    <row r="12" spans="2:22" x14ac:dyDescent="0.3">
      <c r="B12">
        <v>0.01</v>
      </c>
      <c r="C12">
        <v>3.2200000000000002E-3</v>
      </c>
      <c r="D12">
        <v>3.2399999999999998E-3</v>
      </c>
      <c r="E12" s="1">
        <v>2.17544E-5</v>
      </c>
      <c r="F12">
        <v>3.2399999999999998E-3</v>
      </c>
      <c r="G12" s="1">
        <v>2.2146299999999998E-5</v>
      </c>
      <c r="H12">
        <v>3.2499999999999999E-3</v>
      </c>
      <c r="I12" s="1">
        <v>2.61243E-5</v>
      </c>
      <c r="J12">
        <v>3.2499999999999999E-3</v>
      </c>
      <c r="K12" s="1">
        <v>3.0183199999999999E-5</v>
      </c>
      <c r="L12">
        <v>3.2599999999999999E-3</v>
      </c>
      <c r="M12" s="1">
        <v>3.4665400000000002E-5</v>
      </c>
      <c r="N12">
        <v>3.2599999999999999E-3</v>
      </c>
      <c r="O12" s="1">
        <v>3.9307999999999997E-5</v>
      </c>
      <c r="P12" s="1">
        <v>0</v>
      </c>
      <c r="Q12" s="2">
        <f>G12/F12</f>
        <v>6.8352777777777778E-3</v>
      </c>
      <c r="R12" s="2">
        <f>I12/H12</f>
        <v>8.0382461538461535E-3</v>
      </c>
      <c r="S12" s="2">
        <f>K12/J12</f>
        <v>9.2871384615384623E-3</v>
      </c>
      <c r="T12" s="2">
        <f>M12/L12</f>
        <v>1.0633558282208589E-2</v>
      </c>
      <c r="U12" s="2">
        <f>O12/N12</f>
        <v>1.2057668711656441E-2</v>
      </c>
      <c r="V12" s="2"/>
    </row>
    <row r="13" spans="2:22" x14ac:dyDescent="0.3">
      <c r="B13">
        <v>0.1</v>
      </c>
      <c r="C13">
        <v>3.7000000000000002E-3</v>
      </c>
      <c r="D13">
        <v>3.7100000000000002E-3</v>
      </c>
      <c r="E13" s="1">
        <v>1.09667E-5</v>
      </c>
      <c r="F13">
        <v>3.7100000000000002E-3</v>
      </c>
      <c r="G13" s="1">
        <v>1.1164399999999999E-5</v>
      </c>
      <c r="H13">
        <v>3.7100000000000002E-3</v>
      </c>
      <c r="I13" s="1">
        <v>1.3172299999999999E-5</v>
      </c>
      <c r="J13">
        <v>3.7100000000000002E-3</v>
      </c>
      <c r="K13" s="1">
        <v>1.52237E-5</v>
      </c>
      <c r="L13">
        <v>3.7200000000000002E-3</v>
      </c>
      <c r="M13" s="1">
        <v>1.74944E-5</v>
      </c>
      <c r="N13">
        <v>3.7200000000000002E-3</v>
      </c>
      <c r="O13" s="1">
        <v>1.98555E-5</v>
      </c>
      <c r="P13" s="1">
        <v>0</v>
      </c>
      <c r="Q13" s="2">
        <f>G13/F13</f>
        <v>3.0092722371967652E-3</v>
      </c>
      <c r="R13" s="2">
        <f>I13/H13</f>
        <v>3.5504851752021561E-3</v>
      </c>
      <c r="S13" s="2">
        <f>K13/J13</f>
        <v>4.1034231805929912E-3</v>
      </c>
      <c r="T13" s="2">
        <f>M13/L13</f>
        <v>4.7027956989247307E-3</v>
      </c>
      <c r="U13" s="2">
        <f>O13/N13</f>
        <v>5.3374999999999994E-3</v>
      </c>
      <c r="V13" s="2"/>
    </row>
    <row r="14" spans="2:22" x14ac:dyDescent="0.3">
      <c r="B14">
        <v>0.2</v>
      </c>
      <c r="C14">
        <v>3.8E-3</v>
      </c>
      <c r="D14">
        <v>3.81E-3</v>
      </c>
      <c r="E14" s="1">
        <v>1.01203E-5</v>
      </c>
      <c r="F14">
        <v>3.81E-3</v>
      </c>
      <c r="G14" s="1">
        <v>1.0297499999999999E-5</v>
      </c>
      <c r="H14">
        <v>3.81E-3</v>
      </c>
      <c r="I14" s="1">
        <v>1.20887E-5</v>
      </c>
      <c r="J14">
        <v>3.82E-3</v>
      </c>
      <c r="K14" s="1">
        <v>1.39045E-5</v>
      </c>
      <c r="L14">
        <v>3.82E-3</v>
      </c>
      <c r="M14" s="1">
        <v>1.5900600000000002E-5</v>
      </c>
      <c r="N14">
        <v>3.82E-3</v>
      </c>
      <c r="O14" s="1">
        <v>1.7963599999999999E-5</v>
      </c>
      <c r="P14" s="1">
        <v>0</v>
      </c>
      <c r="Q14" s="2">
        <f>G14/F14</f>
        <v>2.7027559055118108E-3</v>
      </c>
      <c r="R14" s="2">
        <f>I14/H14</f>
        <v>3.1728871391076114E-3</v>
      </c>
      <c r="S14" s="2">
        <f>K14/J14</f>
        <v>3.6399214659685866E-3</v>
      </c>
      <c r="T14" s="2">
        <f>M14/L14</f>
        <v>4.1624607329842937E-3</v>
      </c>
      <c r="U14" s="2">
        <f>O14/N14</f>
        <v>4.7025130890052348E-3</v>
      </c>
      <c r="V14" s="2"/>
    </row>
    <row r="15" spans="2:22" x14ac:dyDescent="0.3">
      <c r="B15">
        <v>0.5</v>
      </c>
      <c r="C15">
        <v>3.9100000000000003E-3</v>
      </c>
      <c r="D15">
        <v>3.9199999999999999E-3</v>
      </c>
      <c r="E15" s="1">
        <v>1.12634E-5</v>
      </c>
      <c r="F15">
        <v>3.9199999999999999E-3</v>
      </c>
      <c r="G15" s="1">
        <v>1.1443900000000001E-5</v>
      </c>
      <c r="H15">
        <v>3.9300000000000003E-3</v>
      </c>
      <c r="I15" s="1">
        <v>1.3247100000000001E-5</v>
      </c>
      <c r="J15">
        <v>3.9300000000000003E-3</v>
      </c>
      <c r="K15" s="1">
        <v>1.50383E-5</v>
      </c>
      <c r="L15">
        <v>3.9300000000000003E-3</v>
      </c>
      <c r="M15" s="1">
        <v>1.69705E-5</v>
      </c>
      <c r="N15">
        <v>3.9300000000000003E-3</v>
      </c>
      <c r="O15" s="1">
        <v>1.89332E-5</v>
      </c>
      <c r="P15" s="1">
        <v>0</v>
      </c>
      <c r="Q15" s="2">
        <f>G15/F15</f>
        <v>2.9193622448979595E-3</v>
      </c>
      <c r="R15" s="2">
        <f>I15/H15</f>
        <v>3.3707633587786259E-3</v>
      </c>
      <c r="S15" s="2">
        <f>K15/J15</f>
        <v>3.8265394402035619E-3</v>
      </c>
      <c r="T15" s="2">
        <f>M15/L15</f>
        <v>4.318193384223918E-3</v>
      </c>
      <c r="U15" s="2">
        <f>O15/N15</f>
        <v>4.8176081424936385E-3</v>
      </c>
      <c r="V15" s="2"/>
    </row>
    <row r="16" spans="2:22" x14ac:dyDescent="0.3">
      <c r="B16">
        <v>1</v>
      </c>
      <c r="C16">
        <v>3.98E-3</v>
      </c>
      <c r="D16">
        <v>3.9899999999999996E-3</v>
      </c>
      <c r="E16" s="1">
        <v>1.4518199999999999E-5</v>
      </c>
      <c r="F16">
        <v>3.9899999999999996E-3</v>
      </c>
      <c r="G16" s="1">
        <v>1.4731200000000001E-5</v>
      </c>
      <c r="H16">
        <v>4.0000000000000001E-3</v>
      </c>
      <c r="I16" s="1">
        <v>1.68378E-5</v>
      </c>
      <c r="J16">
        <v>4.0000000000000001E-3</v>
      </c>
      <c r="K16" s="1">
        <v>1.8893699999999998E-5</v>
      </c>
      <c r="L16">
        <v>4.0000000000000001E-3</v>
      </c>
      <c r="M16" s="1">
        <v>2.1073700000000001E-5</v>
      </c>
      <c r="N16">
        <v>4.0000000000000001E-3</v>
      </c>
      <c r="O16" s="1">
        <v>2.3251399999999999E-5</v>
      </c>
      <c r="P16" s="1">
        <v>0</v>
      </c>
      <c r="Q16" s="2">
        <f>G16/F16</f>
        <v>3.6920300751879702E-3</v>
      </c>
      <c r="R16" s="2">
        <f>I16/H16</f>
        <v>4.20945E-3</v>
      </c>
      <c r="S16" s="2">
        <f>K16/J16</f>
        <v>4.7234249999999998E-3</v>
      </c>
      <c r="T16" s="2">
        <f>M16/L16</f>
        <v>5.2684250000000002E-3</v>
      </c>
      <c r="U16" s="2">
        <f>O16/N16</f>
        <v>5.8128499999999996E-3</v>
      </c>
      <c r="V16" s="2"/>
    </row>
    <row r="17" spans="2:22" x14ac:dyDescent="0.3">
      <c r="B17">
        <v>2</v>
      </c>
      <c r="C17">
        <v>4.0299999999999997E-3</v>
      </c>
      <c r="D17">
        <v>4.0499999999999998E-3</v>
      </c>
      <c r="E17" s="1">
        <v>2.06299E-5</v>
      </c>
      <c r="F17">
        <v>4.0499999999999998E-3</v>
      </c>
      <c r="G17" s="1">
        <v>2.0911400000000001E-5</v>
      </c>
      <c r="H17">
        <v>4.0499999999999998E-3</v>
      </c>
      <c r="I17" s="1">
        <v>2.3677E-5</v>
      </c>
      <c r="J17">
        <v>4.0600000000000002E-3</v>
      </c>
      <c r="K17" s="1">
        <v>2.6339700000000001E-5</v>
      </c>
      <c r="L17">
        <v>4.0600000000000002E-3</v>
      </c>
      <c r="M17" s="1">
        <v>2.9123800000000001E-5</v>
      </c>
      <c r="N17">
        <v>4.0600000000000002E-3</v>
      </c>
      <c r="O17" s="1">
        <v>3.18649E-5</v>
      </c>
      <c r="P17" s="1">
        <v>0</v>
      </c>
      <c r="Q17" s="2">
        <f>G17/F17</f>
        <v>5.163308641975309E-3</v>
      </c>
      <c r="R17" s="2">
        <f>I17/H17</f>
        <v>5.8461728395061731E-3</v>
      </c>
      <c r="S17" s="2">
        <f>K17/J17</f>
        <v>6.4876108374384237E-3</v>
      </c>
      <c r="T17" s="2">
        <f>M17/L17</f>
        <v>7.1733497536945806E-3</v>
      </c>
      <c r="U17" s="2">
        <f>O17/N17</f>
        <v>7.8484975369458119E-3</v>
      </c>
      <c r="V17" s="2"/>
    </row>
    <row r="18" spans="2:22" x14ac:dyDescent="0.3">
      <c r="B18">
        <v>4</v>
      </c>
      <c r="C18">
        <v>4.0699999999999998E-3</v>
      </c>
      <c r="D18">
        <v>4.1000000000000003E-3</v>
      </c>
      <c r="E18" s="1">
        <v>3.05033E-5</v>
      </c>
      <c r="F18">
        <v>4.1000000000000003E-3</v>
      </c>
      <c r="G18" s="1">
        <v>3.0902699999999998E-5</v>
      </c>
      <c r="H18">
        <v>4.1099999999999999E-3</v>
      </c>
      <c r="I18" s="1">
        <v>3.4813300000000001E-5</v>
      </c>
      <c r="J18">
        <v>4.1099999999999999E-3</v>
      </c>
      <c r="K18" s="1">
        <v>3.8549500000000001E-5</v>
      </c>
      <c r="L18">
        <v>4.1200000000000004E-3</v>
      </c>
      <c r="M18" s="1">
        <v>4.2422300000000002E-5</v>
      </c>
      <c r="N18">
        <v>4.1200000000000004E-3</v>
      </c>
      <c r="O18" s="1">
        <v>4.6199699999999997E-5</v>
      </c>
      <c r="P18" s="1">
        <v>0</v>
      </c>
      <c r="Q18" s="2">
        <f>G18/F18</f>
        <v>7.5372439024390236E-3</v>
      </c>
      <c r="R18" s="2">
        <f>I18/H18</f>
        <v>8.4703892944038937E-3</v>
      </c>
      <c r="S18" s="2">
        <f>K18/J18</f>
        <v>9.379440389294405E-3</v>
      </c>
      <c r="T18" s="2">
        <f>M18/L18</f>
        <v>1.0296674757281552E-2</v>
      </c>
      <c r="U18" s="2">
        <f>O18/N18</f>
        <v>1.1213519417475726E-2</v>
      </c>
      <c r="V18" s="2"/>
    </row>
    <row r="19" spans="2:22" x14ac:dyDescent="0.3">
      <c r="B19">
        <v>8</v>
      </c>
      <c r="C19">
        <v>4.1099999999999999E-3</v>
      </c>
      <c r="D19">
        <v>4.1599999999999996E-3</v>
      </c>
      <c r="E19" s="1">
        <v>4.5145799999999997E-5</v>
      </c>
      <c r="F19">
        <v>4.1599999999999996E-3</v>
      </c>
      <c r="G19" s="1">
        <v>4.5729300000000003E-5</v>
      </c>
      <c r="H19">
        <v>4.1599999999999996E-3</v>
      </c>
      <c r="I19" s="1">
        <v>5.1438199999999998E-5</v>
      </c>
      <c r="J19">
        <v>4.1700000000000001E-3</v>
      </c>
      <c r="K19" s="1">
        <v>5.6875800000000002E-5</v>
      </c>
      <c r="L19">
        <v>4.1700000000000001E-3</v>
      </c>
      <c r="M19" s="1">
        <v>6.2490199999999993E-5</v>
      </c>
      <c r="N19">
        <v>4.1799999999999997E-3</v>
      </c>
      <c r="O19" s="1">
        <v>6.7940600000000005E-5</v>
      </c>
      <c r="P19" s="1">
        <v>0</v>
      </c>
      <c r="Q19" s="2">
        <f>G19/F19</f>
        <v>1.0992620192307694E-2</v>
      </c>
      <c r="R19" s="2">
        <f>I19/H19</f>
        <v>1.2364951923076923E-2</v>
      </c>
      <c r="S19" s="2">
        <f>K19/J19</f>
        <v>1.3639280575539569E-2</v>
      </c>
      <c r="T19" s="2">
        <f>M19/L19</f>
        <v>1.498565947242206E-2</v>
      </c>
      <c r="U19" s="2">
        <f>O19/N19</f>
        <v>1.625373205741627E-2</v>
      </c>
      <c r="V19" s="2"/>
    </row>
    <row r="20" spans="2:22" x14ac:dyDescent="0.3">
      <c r="B20">
        <v>16</v>
      </c>
      <c r="C20">
        <v>4.15E-3</v>
      </c>
      <c r="D20">
        <v>4.2199999999999998E-3</v>
      </c>
      <c r="E20" s="1">
        <v>6.5654900000000001E-5</v>
      </c>
      <c r="F20">
        <v>4.2199999999999998E-3</v>
      </c>
      <c r="G20" s="1">
        <v>6.6509399999999997E-5</v>
      </c>
      <c r="H20">
        <v>4.2300000000000003E-3</v>
      </c>
      <c r="I20" s="1">
        <v>7.48734E-5</v>
      </c>
      <c r="J20">
        <v>4.2300000000000003E-3</v>
      </c>
      <c r="K20" s="1">
        <v>8.2837999999999995E-5</v>
      </c>
      <c r="L20">
        <v>4.2399999999999998E-3</v>
      </c>
      <c r="M20" s="1">
        <v>9.1052999999999997E-5</v>
      </c>
      <c r="N20">
        <v>4.2500000000000003E-3</v>
      </c>
      <c r="O20" s="1">
        <v>9.9014500000000006E-5</v>
      </c>
      <c r="P20" s="1">
        <v>0</v>
      </c>
      <c r="Q20" s="2">
        <f>G20/F20</f>
        <v>1.5760521327014217E-2</v>
      </c>
      <c r="R20" s="2">
        <f>I20/H20</f>
        <v>1.7700567375886524E-2</v>
      </c>
      <c r="S20" s="2">
        <f>K20/J20</f>
        <v>1.9583451536643023E-2</v>
      </c>
      <c r="T20" s="2">
        <f>M20/L20</f>
        <v>2.1474764150943397E-2</v>
      </c>
      <c r="U20" s="2">
        <f>O20/N20</f>
        <v>2.3297529411764707E-2</v>
      </c>
      <c r="V20" s="2"/>
    </row>
    <row r="21" spans="2:22" x14ac:dyDescent="0.3">
      <c r="B21">
        <v>32</v>
      </c>
      <c r="C21">
        <v>4.1999999999999997E-3</v>
      </c>
      <c r="D21">
        <v>4.3E-3</v>
      </c>
      <c r="E21" s="1">
        <v>9.3292299999999994E-5</v>
      </c>
      <c r="F21">
        <v>4.3E-3</v>
      </c>
      <c r="G21" s="1">
        <v>9.4527399999999999E-5</v>
      </c>
      <c r="H21">
        <v>4.3099999999999996E-3</v>
      </c>
      <c r="I21" s="1">
        <v>1.06625E-4</v>
      </c>
      <c r="J21">
        <v>4.3200000000000001E-3</v>
      </c>
      <c r="K21" s="1">
        <v>1.18158E-4</v>
      </c>
      <c r="L21">
        <v>4.3299999999999996E-3</v>
      </c>
      <c r="M21" s="1">
        <v>1.30059E-4</v>
      </c>
      <c r="N21">
        <v>4.3400000000000001E-3</v>
      </c>
      <c r="O21" s="1">
        <v>1.4159E-4</v>
      </c>
      <c r="P21" s="1">
        <v>0</v>
      </c>
      <c r="Q21" s="2">
        <f>G21/F21</f>
        <v>2.1983116279069768E-2</v>
      </c>
      <c r="R21" s="2">
        <f>I21/H21</f>
        <v>2.4738979118329469E-2</v>
      </c>
      <c r="S21" s="2">
        <f>K21/J21</f>
        <v>2.735138888888889E-2</v>
      </c>
      <c r="T21" s="2">
        <f>M21/L21</f>
        <v>3.003672055427252E-2</v>
      </c>
      <c r="U21" s="2">
        <f>O21/N21</f>
        <v>3.2624423963133642E-2</v>
      </c>
      <c r="V21" s="2"/>
    </row>
    <row r="22" spans="2:22" x14ac:dyDescent="0.3">
      <c r="B22">
        <v>64</v>
      </c>
      <c r="C22">
        <v>4.2700000000000004E-3</v>
      </c>
      <c r="D22">
        <v>4.4000000000000003E-3</v>
      </c>
      <c r="E22" s="1">
        <v>1.2933199999999999E-4</v>
      </c>
      <c r="F22">
        <v>4.4000000000000003E-3</v>
      </c>
      <c r="G22" s="1">
        <v>1.3108E-4</v>
      </c>
      <c r="H22">
        <v>4.4200000000000003E-3</v>
      </c>
      <c r="I22" s="1">
        <v>1.4820400000000001E-4</v>
      </c>
      <c r="J22">
        <v>4.4400000000000004E-3</v>
      </c>
      <c r="K22" s="1">
        <v>1.6455699999999999E-4</v>
      </c>
      <c r="L22">
        <v>4.45E-3</v>
      </c>
      <c r="M22" s="1">
        <v>1.8145100000000001E-4</v>
      </c>
      <c r="N22">
        <v>4.47E-3</v>
      </c>
      <c r="O22" s="1">
        <v>1.9782799999999999E-4</v>
      </c>
      <c r="P22" s="1">
        <v>0</v>
      </c>
      <c r="Q22" s="2">
        <f>G22/F22</f>
        <v>2.979090909090909E-2</v>
      </c>
      <c r="R22" s="2">
        <f>I22/H22</f>
        <v>3.3530316742081449E-2</v>
      </c>
      <c r="S22" s="2">
        <f>K22/J22</f>
        <v>3.7062387387387381E-2</v>
      </c>
      <c r="T22" s="2">
        <f>M22/L22</f>
        <v>4.0775505617977527E-2</v>
      </c>
      <c r="U22" s="2">
        <f>O22/N22</f>
        <v>4.4256823266219235E-2</v>
      </c>
      <c r="V22" s="2"/>
    </row>
    <row r="23" spans="2:22" x14ac:dyDescent="0.3">
      <c r="B23">
        <v>128</v>
      </c>
      <c r="C23">
        <v>4.3800000000000002E-3</v>
      </c>
      <c r="D23">
        <v>4.5500000000000002E-3</v>
      </c>
      <c r="E23" s="1">
        <v>1.74649E-4</v>
      </c>
      <c r="F23">
        <v>4.5599999999999998E-3</v>
      </c>
      <c r="G23" s="1">
        <v>1.7705999999999999E-4</v>
      </c>
      <c r="H23">
        <v>4.5799999999999999E-3</v>
      </c>
      <c r="I23" s="1">
        <v>2.0066999999999999E-4</v>
      </c>
      <c r="J23">
        <v>4.5999999999999999E-3</v>
      </c>
      <c r="K23" s="1">
        <v>2.23258E-4</v>
      </c>
      <c r="L23">
        <v>4.6299999999999996E-3</v>
      </c>
      <c r="M23" s="1">
        <v>2.46629E-4</v>
      </c>
      <c r="N23">
        <v>4.6499999999999996E-3</v>
      </c>
      <c r="O23" s="1">
        <v>2.6930299999999998E-4</v>
      </c>
      <c r="P23" s="1">
        <v>0</v>
      </c>
      <c r="Q23" s="2">
        <f>G23/F23</f>
        <v>3.8828947368421053E-2</v>
      </c>
      <c r="R23" s="2">
        <f>I23/H23</f>
        <v>4.3814410480349342E-2</v>
      </c>
      <c r="S23" s="2">
        <f>K23/J23</f>
        <v>4.8534347826086954E-2</v>
      </c>
      <c r="T23" s="2">
        <f>M23/L23</f>
        <v>5.3267602591792661E-2</v>
      </c>
      <c r="U23" s="2">
        <f>O23/N23</f>
        <v>5.7914623655913981E-2</v>
      </c>
      <c r="V23" s="2"/>
    </row>
    <row r="24" spans="2:22" x14ac:dyDescent="0.3">
      <c r="B24">
        <v>256</v>
      </c>
      <c r="C24">
        <v>4.5399999999999998E-3</v>
      </c>
      <c r="D24">
        <v>4.7699999999999999E-3</v>
      </c>
      <c r="E24" s="1">
        <v>2.29399E-4</v>
      </c>
      <c r="F24">
        <v>4.7699999999999999E-3</v>
      </c>
      <c r="G24" s="1">
        <v>2.3262399999999999E-4</v>
      </c>
      <c r="H24">
        <v>4.81E-3</v>
      </c>
      <c r="I24" s="1">
        <v>2.6423000000000001E-4</v>
      </c>
      <c r="J24">
        <v>4.8399999999999997E-3</v>
      </c>
      <c r="K24" s="1">
        <v>2.9452800000000001E-4</v>
      </c>
      <c r="L24">
        <v>4.8700000000000002E-3</v>
      </c>
      <c r="M24" s="1">
        <v>3.2592899999999998E-4</v>
      </c>
      <c r="N24">
        <v>4.8999999999999998E-3</v>
      </c>
      <c r="O24" s="1">
        <v>3.56425E-4</v>
      </c>
      <c r="P24" s="1">
        <v>0</v>
      </c>
      <c r="Q24" s="2">
        <f>G24/F24</f>
        <v>4.8768134171907757E-2</v>
      </c>
      <c r="R24" s="2">
        <f>I24/H24</f>
        <v>5.4933471933471936E-2</v>
      </c>
      <c r="S24" s="2">
        <f>K24/J24</f>
        <v>6.0852892561983479E-2</v>
      </c>
      <c r="T24" s="2">
        <f>M24/L24</f>
        <v>6.6925872689938395E-2</v>
      </c>
      <c r="U24" s="2">
        <f>O24/N24</f>
        <v>7.273979591836735E-2</v>
      </c>
      <c r="V24" s="2"/>
    </row>
    <row r="25" spans="2:22" x14ac:dyDescent="0.3">
      <c r="B25">
        <v>512</v>
      </c>
      <c r="C25">
        <v>4.7800000000000004E-3</v>
      </c>
      <c r="D25">
        <v>5.0699999999999999E-3</v>
      </c>
      <c r="E25" s="1">
        <v>2.9267399999999998E-4</v>
      </c>
      <c r="F25">
        <v>5.0699999999999999E-3</v>
      </c>
      <c r="G25" s="1">
        <v>2.9685200000000001E-4</v>
      </c>
      <c r="H25">
        <v>5.11E-3</v>
      </c>
      <c r="I25" s="1">
        <v>3.3785299999999999E-4</v>
      </c>
      <c r="J25">
        <v>5.1500000000000001E-3</v>
      </c>
      <c r="K25" s="1">
        <v>3.7724299999999998E-4</v>
      </c>
      <c r="L25">
        <v>5.1900000000000002E-3</v>
      </c>
      <c r="M25" s="1">
        <v>4.1813899999999999E-4</v>
      </c>
      <c r="N25">
        <v>5.2300000000000003E-3</v>
      </c>
      <c r="O25" s="1">
        <v>4.5791199999999999E-4</v>
      </c>
      <c r="P25" s="1">
        <v>0</v>
      </c>
      <c r="Q25" s="2">
        <f>G25/F25</f>
        <v>5.8550690335305723E-2</v>
      </c>
      <c r="R25" s="2">
        <f>I25/H25</f>
        <v>6.6116046966731901E-2</v>
      </c>
      <c r="S25" s="2">
        <f>K25/J25</f>
        <v>7.3251067961165039E-2</v>
      </c>
      <c r="T25" s="2">
        <f>M25/L25</f>
        <v>8.0566281310211943E-2</v>
      </c>
      <c r="U25" s="2">
        <f>O25/N25</f>
        <v>8.75548757170172E-2</v>
      </c>
      <c r="V25" s="2"/>
    </row>
    <row r="26" spans="2:22" x14ac:dyDescent="0.3">
      <c r="B26">
        <v>1024</v>
      </c>
      <c r="C26">
        <v>5.11E-3</v>
      </c>
      <c r="D26">
        <v>5.47E-3</v>
      </c>
      <c r="E26" s="1">
        <v>3.6235100000000001E-4</v>
      </c>
      <c r="F26">
        <v>5.4799999999999996E-3</v>
      </c>
      <c r="G26" s="1">
        <v>3.67594E-4</v>
      </c>
      <c r="H26">
        <v>5.5300000000000002E-3</v>
      </c>
      <c r="I26" s="1">
        <v>4.1911699999999999E-4</v>
      </c>
      <c r="J26">
        <v>5.5799999999999999E-3</v>
      </c>
      <c r="K26" s="1">
        <v>4.6872199999999998E-4</v>
      </c>
      <c r="L26">
        <v>5.6299999999999996E-3</v>
      </c>
      <c r="M26" s="1">
        <v>5.2032300000000005E-4</v>
      </c>
      <c r="N26">
        <v>5.6800000000000002E-3</v>
      </c>
      <c r="O26" s="1">
        <v>5.7058300000000005E-4</v>
      </c>
      <c r="P26" s="1">
        <v>0</v>
      </c>
      <c r="Q26" s="2">
        <f>G26/F26</f>
        <v>6.7079197080291975E-2</v>
      </c>
      <c r="R26" s="2">
        <f>I26/H26</f>
        <v>7.5789692585895116E-2</v>
      </c>
      <c r="S26" s="2">
        <f>K26/J26</f>
        <v>8.400035842293907E-2</v>
      </c>
      <c r="T26" s="2">
        <f>M26/L26</f>
        <v>9.241971580817053E-2</v>
      </c>
      <c r="U26" s="2">
        <f>O26/N26</f>
        <v>0.10045475352112676</v>
      </c>
      <c r="V26" s="2"/>
    </row>
    <row r="27" spans="2:22" x14ac:dyDescent="0.3">
      <c r="B27">
        <v>2048</v>
      </c>
      <c r="C27">
        <v>5.5599999999999998E-3</v>
      </c>
      <c r="D27">
        <v>6.0000000000000001E-3</v>
      </c>
      <c r="E27" s="1">
        <v>4.3528700000000002E-4</v>
      </c>
      <c r="F27">
        <v>6.0000000000000001E-3</v>
      </c>
      <c r="G27" s="1">
        <v>4.41662E-4</v>
      </c>
      <c r="H27">
        <v>6.0600000000000003E-3</v>
      </c>
      <c r="I27" s="1">
        <v>5.0437300000000002E-4</v>
      </c>
      <c r="J27">
        <v>6.13E-3</v>
      </c>
      <c r="K27" s="1">
        <v>5.6487099999999999E-4</v>
      </c>
      <c r="L27">
        <v>6.1900000000000002E-3</v>
      </c>
      <c r="M27" s="1">
        <v>6.2791799999999999E-4</v>
      </c>
      <c r="N27">
        <v>6.2500000000000003E-3</v>
      </c>
      <c r="O27" s="1">
        <v>6.8942199999999997E-4</v>
      </c>
      <c r="P27" s="1">
        <v>0</v>
      </c>
      <c r="Q27" s="2">
        <f>G27/F27</f>
        <v>7.3610333333333333E-2</v>
      </c>
      <c r="R27" s="2">
        <f>I27/H27</f>
        <v>8.3229867986798683E-2</v>
      </c>
      <c r="S27" s="2">
        <f>K27/J27</f>
        <v>9.2148613376835234E-2</v>
      </c>
      <c r="T27" s="2">
        <f>M27/L27</f>
        <v>0.10144071082390953</v>
      </c>
      <c r="U27" s="2">
        <f>O27/N27</f>
        <v>0.11030751999999999</v>
      </c>
      <c r="V27" s="2"/>
    </row>
    <row r="28" spans="2:22" x14ac:dyDescent="0.3">
      <c r="B28">
        <v>4096</v>
      </c>
      <c r="C28">
        <v>6.1500000000000001E-3</v>
      </c>
      <c r="D28">
        <v>6.6600000000000001E-3</v>
      </c>
      <c r="E28" s="1">
        <v>5.0751300000000002E-4</v>
      </c>
      <c r="F28">
        <v>6.6699999999999997E-3</v>
      </c>
      <c r="G28" s="1">
        <v>5.1502000000000004E-4</v>
      </c>
      <c r="H28">
        <v>6.7400000000000003E-3</v>
      </c>
      <c r="I28" s="1">
        <v>5.8894800000000005E-4</v>
      </c>
      <c r="J28">
        <v>6.8100000000000001E-3</v>
      </c>
      <c r="K28" s="1">
        <v>6.6039699999999996E-4</v>
      </c>
      <c r="L28">
        <v>6.8900000000000003E-3</v>
      </c>
      <c r="M28" s="1">
        <v>7.3498900000000002E-4</v>
      </c>
      <c r="N28">
        <v>6.96E-3</v>
      </c>
      <c r="O28" s="1">
        <v>8.0787000000000003E-4</v>
      </c>
      <c r="P28" s="1">
        <v>0</v>
      </c>
      <c r="Q28" s="2">
        <f>G28/F28</f>
        <v>7.7214392803598209E-2</v>
      </c>
      <c r="R28" s="2">
        <f>I28/H28</f>
        <v>8.7381008902077159E-2</v>
      </c>
      <c r="S28" s="2">
        <f>K28/J28</f>
        <v>9.6974596182085163E-2</v>
      </c>
      <c r="T28" s="2">
        <f>M28/L28</f>
        <v>0.10667474600870827</v>
      </c>
      <c r="U28" s="2">
        <f>O28/N28</f>
        <v>0.11607327586206898</v>
      </c>
      <c r="V28" s="2"/>
    </row>
    <row r="29" spans="2:22" x14ac:dyDescent="0.3">
      <c r="B29">
        <v>8192</v>
      </c>
      <c r="C29">
        <v>6.8900000000000003E-3</v>
      </c>
      <c r="D29">
        <v>7.4700000000000001E-3</v>
      </c>
      <c r="E29" s="1">
        <v>5.7472999999999997E-4</v>
      </c>
      <c r="F29">
        <v>7.4799999999999997E-3</v>
      </c>
      <c r="G29" s="1">
        <v>5.8330399999999998E-4</v>
      </c>
      <c r="H29">
        <v>7.5599999999999999E-3</v>
      </c>
      <c r="I29" s="1">
        <v>6.6782099999999997E-4</v>
      </c>
      <c r="J29">
        <v>7.6400000000000001E-3</v>
      </c>
      <c r="K29" s="1">
        <v>7.4964300000000003E-4</v>
      </c>
      <c r="L29">
        <v>7.7299999999999999E-3</v>
      </c>
      <c r="M29" s="1">
        <v>8.3520299999999997E-4</v>
      </c>
      <c r="N29">
        <v>7.8100000000000001E-3</v>
      </c>
      <c r="O29" s="1">
        <v>9.1892600000000003E-4</v>
      </c>
      <c r="P29" s="1">
        <v>0</v>
      </c>
      <c r="Q29" s="2">
        <f>G29/F29</f>
        <v>7.798181818181818E-2</v>
      </c>
      <c r="R29" s="2">
        <f>I29/H29</f>
        <v>8.8336111111111115E-2</v>
      </c>
      <c r="S29" s="2">
        <f>K29/J29</f>
        <v>9.8120811518324608E-2</v>
      </c>
      <c r="T29" s="2">
        <f>M29/L29</f>
        <v>0.10804695989650712</v>
      </c>
      <c r="U29" s="2">
        <f>O29/N29</f>
        <v>0.11766017925736236</v>
      </c>
      <c r="V29" s="2"/>
    </row>
    <row r="30" spans="2:22" x14ac:dyDescent="0.3">
      <c r="B30">
        <v>16384</v>
      </c>
      <c r="C30">
        <v>7.79E-3</v>
      </c>
      <c r="D30">
        <v>8.4200000000000004E-3</v>
      </c>
      <c r="E30" s="1">
        <v>6.3319299999999999E-4</v>
      </c>
      <c r="F30">
        <v>8.43E-3</v>
      </c>
      <c r="G30" s="1">
        <v>6.4270600000000005E-4</v>
      </c>
      <c r="H30">
        <v>8.5299999999999994E-3</v>
      </c>
      <c r="I30" s="1">
        <v>7.3656100000000005E-4</v>
      </c>
      <c r="J30">
        <v>8.6199999999999992E-3</v>
      </c>
      <c r="K30" s="1">
        <v>8.2754900000000001E-4</v>
      </c>
      <c r="L30">
        <v>8.7100000000000007E-3</v>
      </c>
      <c r="M30" s="1">
        <v>9.2282200000000001E-4</v>
      </c>
      <c r="N30">
        <v>8.8100000000000001E-3</v>
      </c>
      <c r="O30">
        <v>1.0200000000000001E-3</v>
      </c>
      <c r="P30" s="1">
        <v>0</v>
      </c>
      <c r="Q30" s="2">
        <f>G30/F30</f>
        <v>7.624033214709372E-2</v>
      </c>
      <c r="R30" s="2">
        <f>I30/H30</f>
        <v>8.6349472450175865E-2</v>
      </c>
      <c r="S30" s="2">
        <f>K30/J30</f>
        <v>9.6003364269141536E-2</v>
      </c>
      <c r="T30" s="2">
        <f>M30/L30</f>
        <v>0.10594971297359357</v>
      </c>
      <c r="U30" s="2">
        <f>O30/N30</f>
        <v>0.11577752553916006</v>
      </c>
      <c r="V30" s="2"/>
    </row>
    <row r="31" spans="2:22" x14ac:dyDescent="0.3">
      <c r="B31">
        <v>32768</v>
      </c>
      <c r="C31">
        <v>8.8400000000000006E-3</v>
      </c>
      <c r="D31">
        <v>9.5200000000000007E-3</v>
      </c>
      <c r="E31" s="1">
        <v>6.8010100000000001E-4</v>
      </c>
      <c r="F31">
        <v>9.5300000000000003E-3</v>
      </c>
      <c r="G31" s="1">
        <v>6.9037500000000002E-4</v>
      </c>
      <c r="H31">
        <v>9.6299999999999997E-3</v>
      </c>
      <c r="I31" s="1">
        <v>7.9180199999999998E-4</v>
      </c>
      <c r="J31">
        <v>9.7300000000000008E-3</v>
      </c>
      <c r="K31" s="1">
        <v>8.9024799999999995E-4</v>
      </c>
      <c r="L31">
        <v>9.8300000000000002E-3</v>
      </c>
      <c r="M31" s="1">
        <v>9.9345700000000011E-4</v>
      </c>
      <c r="N31">
        <v>9.9299999999999996E-3</v>
      </c>
      <c r="O31">
        <v>1.09E-3</v>
      </c>
      <c r="P31" s="1">
        <v>0</v>
      </c>
      <c r="Q31" s="2">
        <f>G31/F31</f>
        <v>7.2442287513116474E-2</v>
      </c>
      <c r="R31" s="2">
        <f>I31/H31</f>
        <v>8.2222429906542063E-2</v>
      </c>
      <c r="S31" s="2">
        <f>K31/J31</f>
        <v>9.1495169578622804E-2</v>
      </c>
      <c r="T31" s="2">
        <f>M31/L31</f>
        <v>0.10106378433367244</v>
      </c>
      <c r="U31" s="2">
        <f>O31/N31</f>
        <v>0.10976837865055389</v>
      </c>
      <c r="V31" s="2"/>
    </row>
    <row r="32" spans="2:22" x14ac:dyDescent="0.3">
      <c r="B32">
        <v>65536</v>
      </c>
      <c r="C32">
        <v>1.0019999999999999E-2</v>
      </c>
      <c r="D32">
        <v>1.073E-2</v>
      </c>
      <c r="E32" s="1">
        <v>7.1413200000000003E-4</v>
      </c>
      <c r="F32">
        <v>1.074E-2</v>
      </c>
      <c r="G32" s="1">
        <v>7.2496799999999999E-4</v>
      </c>
      <c r="H32">
        <v>1.085E-2</v>
      </c>
      <c r="I32" s="1">
        <v>8.3199700000000001E-4</v>
      </c>
      <c r="J32">
        <v>1.095E-2</v>
      </c>
      <c r="K32" s="1">
        <v>9.3597999999999999E-4</v>
      </c>
      <c r="L32">
        <v>1.106E-2</v>
      </c>
      <c r="M32">
        <v>1.0499999999999999E-3</v>
      </c>
      <c r="N32">
        <v>1.1169999999999999E-2</v>
      </c>
      <c r="O32">
        <v>1.15E-3</v>
      </c>
      <c r="P32" s="1">
        <v>0</v>
      </c>
      <c r="Q32" s="2">
        <f>G32/F32</f>
        <v>6.7501675977653636E-2</v>
      </c>
      <c r="R32" s="2">
        <f>I32/H32</f>
        <v>7.6681751152073735E-2</v>
      </c>
      <c r="S32" s="2">
        <f>K32/J32</f>
        <v>8.5477625570776261E-2</v>
      </c>
      <c r="T32" s="2">
        <f>M32/L32</f>
        <v>9.4936708860759486E-2</v>
      </c>
      <c r="U32" s="2">
        <f>O32/N32</f>
        <v>0.10295434198746643</v>
      </c>
      <c r="V32" s="2"/>
    </row>
    <row r="33" spans="2:22" x14ac:dyDescent="0.3">
      <c r="B33">
        <v>131072</v>
      </c>
      <c r="C33">
        <v>1.1299999999999999E-2</v>
      </c>
      <c r="D33">
        <v>1.204E-2</v>
      </c>
      <c r="E33" s="1">
        <v>7.35559E-4</v>
      </c>
      <c r="F33">
        <v>1.205E-2</v>
      </c>
      <c r="G33" s="1">
        <v>7.46749E-4</v>
      </c>
      <c r="H33">
        <v>1.2160000000000001E-2</v>
      </c>
      <c r="I33" s="1">
        <v>8.5730599999999995E-4</v>
      </c>
      <c r="J33">
        <v>1.227E-2</v>
      </c>
      <c r="K33" s="1">
        <v>9.6478600000000003E-4</v>
      </c>
      <c r="L33">
        <v>1.238E-2</v>
      </c>
      <c r="M33">
        <v>1.08E-3</v>
      </c>
      <c r="N33">
        <v>1.2489999999999999E-2</v>
      </c>
      <c r="O33">
        <v>1.1900000000000001E-3</v>
      </c>
      <c r="P33" s="1">
        <v>0</v>
      </c>
      <c r="Q33" s="2">
        <f>G33/F33</f>
        <v>6.1970871369294606E-2</v>
      </c>
      <c r="R33" s="2">
        <f>I33/H33</f>
        <v>7.0502138157894731E-2</v>
      </c>
      <c r="S33" s="2">
        <f>K33/J33</f>
        <v>7.8629665851670749E-2</v>
      </c>
      <c r="T33" s="2">
        <f>M33/L33</f>
        <v>8.7237479806138926E-2</v>
      </c>
      <c r="U33" s="2">
        <f>O33/N33</f>
        <v>9.5276220976781442E-2</v>
      </c>
      <c r="V33" s="2"/>
    </row>
    <row r="34" spans="2:22" x14ac:dyDescent="0.3">
      <c r="B34">
        <v>262144</v>
      </c>
      <c r="C34">
        <v>1.2670000000000001E-2</v>
      </c>
      <c r="D34">
        <v>1.342E-2</v>
      </c>
      <c r="E34" s="1">
        <v>7.4554700000000005E-4</v>
      </c>
      <c r="F34">
        <v>1.3429999999999999E-2</v>
      </c>
      <c r="G34" s="1">
        <v>7.5690299999999996E-4</v>
      </c>
      <c r="H34">
        <v>1.354E-2</v>
      </c>
      <c r="I34" s="1">
        <v>8.6914000000000002E-4</v>
      </c>
      <c r="J34">
        <v>1.3650000000000001E-2</v>
      </c>
      <c r="K34" s="1">
        <v>9.7831999999999997E-4</v>
      </c>
      <c r="L34">
        <v>1.3769999999999999E-2</v>
      </c>
      <c r="M34">
        <v>1.09E-3</v>
      </c>
      <c r="N34">
        <v>1.388E-2</v>
      </c>
      <c r="O34">
        <v>1.2099999999999999E-3</v>
      </c>
      <c r="P34" s="1">
        <v>0</v>
      </c>
      <c r="Q34" s="2">
        <f>G34/F34</f>
        <v>5.6359121370067017E-2</v>
      </c>
      <c r="R34" s="2">
        <f>I34/H34</f>
        <v>6.4190546528803544E-2</v>
      </c>
      <c r="S34" s="2">
        <f>K34/J34</f>
        <v>7.1671794871794869E-2</v>
      </c>
      <c r="T34" s="2">
        <f>M34/L34</f>
        <v>7.9157588961510539E-2</v>
      </c>
      <c r="U34" s="2">
        <f>O34/N34</f>
        <v>8.71757925072046E-2</v>
      </c>
      <c r="V34" s="2"/>
    </row>
    <row r="35" spans="2:22" x14ac:dyDescent="0.3">
      <c r="B35">
        <v>524288</v>
      </c>
      <c r="C35">
        <v>1.41E-2</v>
      </c>
      <c r="D35">
        <v>1.4840000000000001E-2</v>
      </c>
      <c r="E35" s="1">
        <v>7.4631700000000003E-4</v>
      </c>
      <c r="F35">
        <v>1.485E-2</v>
      </c>
      <c r="G35" s="1">
        <v>7.5770299999999998E-4</v>
      </c>
      <c r="H35">
        <v>1.4970000000000001E-2</v>
      </c>
      <c r="I35" s="1">
        <v>8.7026300000000003E-4</v>
      </c>
      <c r="J35">
        <v>1.508E-2</v>
      </c>
      <c r="K35" s="1">
        <v>9.7980099999999998E-4</v>
      </c>
      <c r="L35">
        <v>1.519E-2</v>
      </c>
      <c r="M35">
        <v>1.09E-3</v>
      </c>
      <c r="N35">
        <v>1.5299999999999999E-2</v>
      </c>
      <c r="O35">
        <v>1.2099999999999999E-3</v>
      </c>
      <c r="P35" s="1">
        <v>0</v>
      </c>
      <c r="Q35" s="2">
        <f>G35/F35</f>
        <v>5.1023771043771038E-2</v>
      </c>
      <c r="R35" s="2">
        <f>I35/H35</f>
        <v>5.813380093520374E-2</v>
      </c>
      <c r="S35" s="2">
        <f>K35/J35</f>
        <v>6.4973541114058356E-2</v>
      </c>
      <c r="T35" s="2">
        <f>M35/L35</f>
        <v>7.1757735352205393E-2</v>
      </c>
      <c r="U35" s="2">
        <f>O35/N35</f>
        <v>7.9084967320261434E-2</v>
      </c>
      <c r="V35" s="2"/>
    </row>
    <row r="36" spans="2:22" x14ac:dyDescent="0.3">
      <c r="B36" s="1">
        <v>1048580</v>
      </c>
      <c r="C36">
        <v>1.555E-2</v>
      </c>
      <c r="D36">
        <v>1.6289999999999999E-2</v>
      </c>
      <c r="E36" s="1">
        <v>7.4071E-4</v>
      </c>
      <c r="F36">
        <v>1.6299999999999999E-2</v>
      </c>
      <c r="G36" s="1">
        <v>7.5202400000000001E-4</v>
      </c>
      <c r="H36">
        <v>1.6410000000000001E-2</v>
      </c>
      <c r="I36" s="1">
        <v>8.6390100000000004E-4</v>
      </c>
      <c r="J36">
        <v>1.652E-2</v>
      </c>
      <c r="K36" s="1">
        <v>9.7283199999999997E-4</v>
      </c>
      <c r="L36">
        <v>1.6629999999999999E-2</v>
      </c>
      <c r="M36">
        <v>1.09E-3</v>
      </c>
      <c r="N36">
        <v>1.6750000000000001E-2</v>
      </c>
      <c r="O36">
        <v>1.1999999999999999E-3</v>
      </c>
      <c r="P36" s="1">
        <v>0</v>
      </c>
      <c r="Q36" s="2">
        <f>G36/F36</f>
        <v>4.6136441717791417E-2</v>
      </c>
      <c r="R36" s="2">
        <f>I36/H36</f>
        <v>5.2644789762340036E-2</v>
      </c>
      <c r="S36" s="2">
        <f>K36/J36</f>
        <v>5.8888135593220335E-2</v>
      </c>
      <c r="T36" s="2">
        <f>M36/L36</f>
        <v>6.5544197233914622E-2</v>
      </c>
      <c r="U36" s="2">
        <f>O36/N36</f>
        <v>7.164179104477611E-2</v>
      </c>
      <c r="V36" s="2"/>
    </row>
    <row r="37" spans="2:22" x14ac:dyDescent="0.3">
      <c r="B37" s="1">
        <v>2097150</v>
      </c>
      <c r="C37">
        <v>1.7010000000000001E-2</v>
      </c>
      <c r="D37">
        <v>1.7739999999999999E-2</v>
      </c>
      <c r="E37" s="1">
        <v>7.3188400000000003E-4</v>
      </c>
      <c r="F37">
        <v>1.7749999999999998E-2</v>
      </c>
      <c r="G37" s="1">
        <v>7.4307799999999999E-4</v>
      </c>
      <c r="H37">
        <v>1.7860000000000001E-2</v>
      </c>
      <c r="I37" s="1">
        <v>8.5377499999999998E-4</v>
      </c>
      <c r="J37">
        <v>1.797E-2</v>
      </c>
      <c r="K37" s="1">
        <v>9.6155399999999999E-4</v>
      </c>
      <c r="L37">
        <v>1.8079999999999999E-2</v>
      </c>
      <c r="M37">
        <v>1.07E-3</v>
      </c>
      <c r="N37">
        <v>1.8200000000000001E-2</v>
      </c>
      <c r="O37">
        <v>1.1900000000000001E-3</v>
      </c>
      <c r="P37" s="1">
        <v>0</v>
      </c>
      <c r="Q37" s="2">
        <f>G37/F37</f>
        <v>4.1863549295774648E-2</v>
      </c>
      <c r="R37" s="2">
        <f>I37/H37</f>
        <v>4.780375139977603E-2</v>
      </c>
      <c r="S37" s="2">
        <f>K37/J37</f>
        <v>5.3508848080133557E-2</v>
      </c>
      <c r="T37" s="2">
        <f>M37/L37</f>
        <v>5.9181415929203542E-2</v>
      </c>
      <c r="U37" s="2">
        <f>O37/N37</f>
        <v>6.5384615384615388E-2</v>
      </c>
      <c r="V37" s="2"/>
    </row>
    <row r="38" spans="2:22" x14ac:dyDescent="0.3">
      <c r="B38" s="1">
        <v>4194300</v>
      </c>
      <c r="C38">
        <v>1.847E-2</v>
      </c>
      <c r="D38">
        <v>1.9199999999999998E-2</v>
      </c>
      <c r="E38" s="1">
        <v>7.22242E-4</v>
      </c>
      <c r="F38">
        <v>1.9210000000000001E-2</v>
      </c>
      <c r="G38" s="1">
        <v>7.3329500000000002E-4</v>
      </c>
      <c r="H38">
        <v>1.932E-2</v>
      </c>
      <c r="I38" s="1">
        <v>8.4258900000000003E-4</v>
      </c>
      <c r="J38">
        <v>1.942E-2</v>
      </c>
      <c r="K38" s="1">
        <v>9.4900200000000001E-4</v>
      </c>
      <c r="L38">
        <v>1.9529999999999999E-2</v>
      </c>
      <c r="M38">
        <v>1.06E-3</v>
      </c>
      <c r="N38">
        <v>1.9640000000000001E-2</v>
      </c>
      <c r="O38">
        <v>1.17E-3</v>
      </c>
      <c r="P38" s="1">
        <v>0</v>
      </c>
      <c r="Q38" s="2">
        <f>G38/F38</f>
        <v>3.8172566371681413E-2</v>
      </c>
      <c r="R38" s="2">
        <f>I38/H38</f>
        <v>4.3612267080745344E-2</v>
      </c>
      <c r="S38" s="2">
        <f>K38/J38</f>
        <v>4.8867250257466528E-2</v>
      </c>
      <c r="T38" s="2">
        <f>M38/L38</f>
        <v>5.4275473630312342E-2</v>
      </c>
      <c r="U38" s="2">
        <f>O38/N38</f>
        <v>5.957230142566191E-2</v>
      </c>
      <c r="V38" s="2"/>
    </row>
    <row r="39" spans="2:22" x14ac:dyDescent="0.3">
      <c r="B39" s="1">
        <v>8388610</v>
      </c>
      <c r="C39">
        <v>1.9939999999999999E-2</v>
      </c>
      <c r="D39">
        <v>2.0660000000000001E-2</v>
      </c>
      <c r="E39" s="1">
        <v>7.1366599999999995E-4</v>
      </c>
      <c r="F39">
        <v>2.0670000000000001E-2</v>
      </c>
      <c r="G39" s="1">
        <v>7.2459200000000003E-4</v>
      </c>
      <c r="H39">
        <v>2.078E-2</v>
      </c>
      <c r="I39" s="1">
        <v>8.3264999999999999E-4</v>
      </c>
      <c r="J39">
        <v>2.0879999999999999E-2</v>
      </c>
      <c r="K39" s="1">
        <v>9.3791199999999995E-4</v>
      </c>
      <c r="L39">
        <v>2.0990000000000002E-2</v>
      </c>
      <c r="M39">
        <v>1.0499999999999999E-3</v>
      </c>
      <c r="N39">
        <v>2.1100000000000001E-2</v>
      </c>
      <c r="O39">
        <v>1.16E-3</v>
      </c>
      <c r="P39" s="1">
        <v>0</v>
      </c>
      <c r="Q39" s="2">
        <f>G39/F39</f>
        <v>3.5055249153362361E-2</v>
      </c>
      <c r="R39" s="2">
        <f>I39/H39</f>
        <v>4.0069778633301252E-2</v>
      </c>
      <c r="S39" s="2">
        <f>K39/J39</f>
        <v>4.4919157088122608E-2</v>
      </c>
      <c r="T39" s="2">
        <f>M39/L39</f>
        <v>5.0023820867079558E-2</v>
      </c>
      <c r="U39" s="2">
        <f>O39/N39</f>
        <v>5.4976303317535544E-2</v>
      </c>
      <c r="V39" s="2"/>
    </row>
    <row r="40" spans="2:22" x14ac:dyDescent="0.3">
      <c r="B40" s="1">
        <v>16777200</v>
      </c>
      <c r="C40">
        <v>2.1440000000000001E-2</v>
      </c>
      <c r="D40">
        <v>2.215E-2</v>
      </c>
      <c r="E40" s="1">
        <v>7.0928600000000005E-4</v>
      </c>
      <c r="F40">
        <v>2.2159999999999999E-2</v>
      </c>
      <c r="G40" s="1">
        <v>7.2014300000000002E-4</v>
      </c>
      <c r="H40">
        <v>2.2270000000000002E-2</v>
      </c>
      <c r="I40" s="1">
        <v>8.2757900000000005E-4</v>
      </c>
      <c r="J40">
        <v>2.2370000000000001E-2</v>
      </c>
      <c r="K40" s="1">
        <v>9.3234199999999996E-4</v>
      </c>
      <c r="L40">
        <v>2.248E-2</v>
      </c>
      <c r="M40">
        <v>1.0399999999999999E-3</v>
      </c>
      <c r="N40">
        <v>2.2589999999999999E-2</v>
      </c>
      <c r="O40">
        <v>1.15E-3</v>
      </c>
      <c r="P40" s="1">
        <v>0</v>
      </c>
      <c r="Q40" s="2">
        <f>G40/F40</f>
        <v>3.249742779783394E-2</v>
      </c>
      <c r="R40" s="2">
        <f>I40/H40</f>
        <v>3.7161158509205205E-2</v>
      </c>
      <c r="S40" s="2">
        <f>K40/J40</f>
        <v>4.1678229772016087E-2</v>
      </c>
      <c r="T40" s="2">
        <f>M40/L40</f>
        <v>4.6263345195729534E-2</v>
      </c>
      <c r="U40" s="2">
        <f>O40/N40</f>
        <v>5.090748118636565E-2</v>
      </c>
      <c r="V40" s="2"/>
    </row>
    <row r="41" spans="2:22" x14ac:dyDescent="0.3">
      <c r="B41" s="1">
        <v>33554400</v>
      </c>
      <c r="C41">
        <v>2.3009999999999999E-2</v>
      </c>
      <c r="D41">
        <v>2.3720000000000001E-2</v>
      </c>
      <c r="E41" s="1">
        <v>7.1232800000000003E-4</v>
      </c>
      <c r="F41">
        <v>2.3730000000000001E-2</v>
      </c>
      <c r="G41" s="1">
        <v>7.2331000000000001E-4</v>
      </c>
      <c r="H41">
        <v>2.384E-2</v>
      </c>
      <c r="I41" s="1">
        <v>8.3211099999999996E-4</v>
      </c>
      <c r="J41">
        <v>2.3949999999999999E-2</v>
      </c>
      <c r="K41" s="1">
        <v>9.3841900000000002E-4</v>
      </c>
      <c r="L41">
        <v>2.4060000000000002E-2</v>
      </c>
      <c r="M41">
        <v>1.0499999999999999E-3</v>
      </c>
      <c r="N41">
        <v>2.4170000000000001E-2</v>
      </c>
      <c r="O41">
        <v>1.16E-3</v>
      </c>
      <c r="P41" s="1">
        <v>0</v>
      </c>
      <c r="Q41" s="2">
        <f>G41/F41</f>
        <v>3.0480825958702065E-2</v>
      </c>
      <c r="R41" s="2">
        <f>I41/H41</f>
        <v>3.490398489932886E-2</v>
      </c>
      <c r="S41" s="2">
        <f>K41/J41</f>
        <v>3.9182421711899791E-2</v>
      </c>
      <c r="T41" s="2">
        <f>M41/L41</f>
        <v>4.3640897755610968E-2</v>
      </c>
      <c r="U41" s="2">
        <f>O41/N41</f>
        <v>4.799338022341746E-2</v>
      </c>
      <c r="V41" s="2"/>
    </row>
    <row r="42" spans="2:22" x14ac:dyDescent="0.3">
      <c r="B42" s="1">
        <v>67108900</v>
      </c>
      <c r="C42">
        <v>2.4750000000000001E-2</v>
      </c>
      <c r="D42">
        <v>2.5479999999999999E-2</v>
      </c>
      <c r="E42" s="1">
        <v>7.3116000000000001E-4</v>
      </c>
      <c r="F42">
        <v>2.5499999999999998E-2</v>
      </c>
      <c r="G42" s="1">
        <v>7.4254400000000004E-4</v>
      </c>
      <c r="H42">
        <v>2.5610000000000001E-2</v>
      </c>
      <c r="I42" s="1">
        <v>8.5552299999999996E-4</v>
      </c>
      <c r="J42">
        <v>2.572E-2</v>
      </c>
      <c r="K42" s="1">
        <v>9.6628600000000001E-4</v>
      </c>
      <c r="L42">
        <v>2.5839999999999998E-2</v>
      </c>
      <c r="M42">
        <v>1.08E-3</v>
      </c>
      <c r="N42">
        <v>2.5950000000000001E-2</v>
      </c>
      <c r="O42">
        <v>1.1999999999999999E-3</v>
      </c>
      <c r="P42" s="1">
        <v>0</v>
      </c>
      <c r="Q42" s="2">
        <f>G42/F42</f>
        <v>2.9119372549019612E-2</v>
      </c>
      <c r="R42" s="2">
        <f>I42/H42</f>
        <v>3.3405818039828186E-2</v>
      </c>
      <c r="S42" s="2">
        <f>K42/J42</f>
        <v>3.7569440124416799E-2</v>
      </c>
      <c r="T42" s="2">
        <f>M42/L42</f>
        <v>4.1795665634674926E-2</v>
      </c>
      <c r="U42" s="2">
        <f>O42/N42</f>
        <v>4.6242774566473986E-2</v>
      </c>
      <c r="V42" s="2"/>
    </row>
    <row r="43" spans="2:22" x14ac:dyDescent="0.3">
      <c r="B43" s="1">
        <v>134218000</v>
      </c>
      <c r="C43">
        <v>2.6859999999999998E-2</v>
      </c>
      <c r="D43">
        <v>2.7640000000000001E-2</v>
      </c>
      <c r="E43" s="1">
        <v>7.78837E-4</v>
      </c>
      <c r="F43">
        <v>2.7650000000000001E-2</v>
      </c>
      <c r="G43" s="1">
        <v>7.91163E-4</v>
      </c>
      <c r="H43">
        <v>2.777E-2</v>
      </c>
      <c r="I43" s="1">
        <v>9.13815E-4</v>
      </c>
      <c r="J43">
        <v>2.7890000000000002E-2</v>
      </c>
      <c r="K43">
        <v>1.0300000000000001E-3</v>
      </c>
      <c r="L43">
        <v>2.802E-2</v>
      </c>
      <c r="M43">
        <v>1.16E-3</v>
      </c>
      <c r="N43">
        <v>2.8150000000000001E-2</v>
      </c>
      <c r="O43">
        <v>1.2899999999999999E-3</v>
      </c>
      <c r="P43" s="1">
        <v>0</v>
      </c>
      <c r="Q43" s="2">
        <f>G43/F43</f>
        <v>2.8613490054249548E-2</v>
      </c>
      <c r="R43" s="2">
        <f>I43/H43</f>
        <v>3.2906553835073821E-2</v>
      </c>
      <c r="S43" s="2">
        <f>K43/J43</f>
        <v>3.6930799569738257E-2</v>
      </c>
      <c r="T43" s="2">
        <f>M43/L43</f>
        <v>4.1399000713775877E-2</v>
      </c>
      <c r="U43" s="2">
        <f>O43/N43</f>
        <v>4.5825932504440489E-2</v>
      </c>
      <c r="V43" s="2"/>
    </row>
    <row r="44" spans="2:22" x14ac:dyDescent="0.3">
      <c r="B44" s="1">
        <v>268435000</v>
      </c>
      <c r="C44">
        <v>2.9669999999999998E-2</v>
      </c>
      <c r="D44">
        <v>3.0540000000000001E-2</v>
      </c>
      <c r="E44" s="1">
        <v>8.7332900000000005E-4</v>
      </c>
      <c r="F44">
        <v>3.0550000000000001E-2</v>
      </c>
      <c r="G44" s="1">
        <v>8.8745399999999998E-4</v>
      </c>
      <c r="H44">
        <v>3.0700000000000002E-2</v>
      </c>
      <c r="I44">
        <v>1.0300000000000001E-3</v>
      </c>
      <c r="J44">
        <v>3.0839999999999999E-2</v>
      </c>
      <c r="K44">
        <v>1.17E-3</v>
      </c>
      <c r="L44">
        <v>3.099E-2</v>
      </c>
      <c r="M44">
        <v>1.32E-3</v>
      </c>
      <c r="N44">
        <v>3.1140000000000001E-2</v>
      </c>
      <c r="O44">
        <v>1.47E-3</v>
      </c>
      <c r="P44" s="1">
        <v>0</v>
      </c>
      <c r="Q44" s="2">
        <f>G44/F44</f>
        <v>2.9049230769230768E-2</v>
      </c>
      <c r="R44" s="2">
        <f>I44/H44</f>
        <v>3.3550488599348532E-2</v>
      </c>
      <c r="S44" s="2">
        <f>K44/J44</f>
        <v>3.7937743190661483E-2</v>
      </c>
      <c r="T44" s="2">
        <f>M44/L44</f>
        <v>4.2594385285575992E-2</v>
      </c>
      <c r="U44" s="2">
        <f>O44/N44</f>
        <v>4.7206165703275529E-2</v>
      </c>
      <c r="V44" s="2"/>
    </row>
    <row r="45" spans="2:22" x14ac:dyDescent="0.3">
      <c r="B45" s="1">
        <v>536871000</v>
      </c>
      <c r="C45">
        <v>3.3739999999999999E-2</v>
      </c>
      <c r="D45">
        <v>3.4779999999999998E-2</v>
      </c>
      <c r="E45">
        <v>1.0399999999999999E-3</v>
      </c>
      <c r="F45">
        <v>3.4799999999999998E-2</v>
      </c>
      <c r="G45">
        <v>1.0499999999999999E-3</v>
      </c>
      <c r="H45">
        <v>3.4970000000000001E-2</v>
      </c>
      <c r="I45">
        <v>1.23E-3</v>
      </c>
      <c r="J45">
        <v>3.5150000000000001E-2</v>
      </c>
      <c r="K45">
        <v>1.4E-3</v>
      </c>
      <c r="L45">
        <v>3.533E-2</v>
      </c>
      <c r="M45">
        <v>1.5900000000000001E-3</v>
      </c>
      <c r="N45">
        <v>3.5529999999999999E-2</v>
      </c>
      <c r="O45">
        <v>1.7799999999999999E-3</v>
      </c>
      <c r="P45" s="1">
        <v>0</v>
      </c>
      <c r="Q45" s="2">
        <f>G45/F45</f>
        <v>3.017241379310345E-2</v>
      </c>
      <c r="R45" s="2">
        <f>I45/H45</f>
        <v>3.5173005433228481E-2</v>
      </c>
      <c r="S45" s="2">
        <f>K45/J45</f>
        <v>3.9829302987197723E-2</v>
      </c>
      <c r="T45" s="2">
        <f>M45/L45</f>
        <v>4.5004245683555051E-2</v>
      </c>
      <c r="U45" s="2">
        <f>O45/N45</f>
        <v>5.0098508302842668E-2</v>
      </c>
      <c r="V45" s="2"/>
    </row>
    <row r="46" spans="2:22" x14ac:dyDescent="0.3">
      <c r="B46" s="1">
        <v>1073740000</v>
      </c>
      <c r="C46">
        <v>3.9820000000000001E-2</v>
      </c>
      <c r="D46">
        <v>4.1099999999999998E-2</v>
      </c>
      <c r="E46">
        <v>1.2700000000000001E-3</v>
      </c>
      <c r="F46">
        <v>4.1119999999999997E-2</v>
      </c>
      <c r="G46">
        <v>1.2899999999999999E-3</v>
      </c>
      <c r="H46">
        <v>4.1340000000000002E-2</v>
      </c>
      <c r="I46">
        <v>1.5100000000000001E-3</v>
      </c>
      <c r="J46">
        <v>4.156E-2</v>
      </c>
      <c r="K46">
        <v>1.74E-3</v>
      </c>
      <c r="L46">
        <v>4.1799999999999997E-2</v>
      </c>
      <c r="M46">
        <v>1.98E-3</v>
      </c>
      <c r="N46">
        <v>4.2049999999999997E-2</v>
      </c>
      <c r="O46">
        <v>2.2300000000000002E-3</v>
      </c>
      <c r="P46" s="1">
        <v>0</v>
      </c>
      <c r="Q46" s="2">
        <f>G46/F46</f>
        <v>3.1371595330739299E-2</v>
      </c>
      <c r="R46" s="2">
        <f>I46/H46</f>
        <v>3.6526366715045958E-2</v>
      </c>
      <c r="S46" s="2">
        <f>K46/J46</f>
        <v>4.1867179980750721E-2</v>
      </c>
      <c r="T46" s="2">
        <f>M46/L46</f>
        <v>4.736842105263158E-2</v>
      </c>
      <c r="U46" s="2">
        <f>O46/N46</f>
        <v>5.3032104637336513E-2</v>
      </c>
      <c r="V46" s="2"/>
    </row>
    <row r="48" spans="2:22" x14ac:dyDescent="0.3">
      <c r="B48" t="s">
        <v>15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10</v>
      </c>
      <c r="M48" t="s">
        <v>11</v>
      </c>
      <c r="N48" t="s">
        <v>12</v>
      </c>
      <c r="O48" t="s">
        <v>13</v>
      </c>
    </row>
    <row r="49" spans="2:22" x14ac:dyDescent="0.3">
      <c r="B49" t="s">
        <v>14</v>
      </c>
    </row>
    <row r="50" spans="2:22" x14ac:dyDescent="0.3">
      <c r="B50" s="1">
        <v>9.9999999999999994E-12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2:22" x14ac:dyDescent="0.3">
      <c r="B51" s="1">
        <v>1.0000000000000001E-9</v>
      </c>
      <c r="C51" s="1">
        <v>4.0165499999999998E-7</v>
      </c>
      <c r="D51" s="1">
        <v>3.3278199999999998E-6</v>
      </c>
      <c r="E51" s="1">
        <v>2.9261600000000002E-6</v>
      </c>
      <c r="F51" s="1">
        <v>3.3736199999999999E-6</v>
      </c>
      <c r="G51" s="1">
        <v>2.9719599999999998E-6</v>
      </c>
      <c r="H51" s="1">
        <v>3.8222700000000003E-6</v>
      </c>
      <c r="I51" s="1">
        <v>3.4206100000000002E-6</v>
      </c>
      <c r="J51" s="1">
        <v>4.2531099999999998E-6</v>
      </c>
      <c r="K51" s="1">
        <v>3.8514600000000001E-6</v>
      </c>
      <c r="L51" s="1">
        <v>4.7021100000000001E-6</v>
      </c>
      <c r="M51" s="1">
        <v>4.3004499999999996E-6</v>
      </c>
      <c r="N51" s="1">
        <v>5.1421700000000001E-6</v>
      </c>
      <c r="O51" s="1">
        <v>4.7405200000000003E-6</v>
      </c>
      <c r="P51" s="1">
        <v>0</v>
      </c>
      <c r="Q51" s="2">
        <f>G51/F51</f>
        <v>0.88094094770602493</v>
      </c>
      <c r="R51" s="2">
        <f>I51/H51</f>
        <v>0.89491584843561545</v>
      </c>
      <c r="S51" s="2">
        <f>K51/J51</f>
        <v>0.90556322314729698</v>
      </c>
      <c r="T51" s="2">
        <f>M51/L51</f>
        <v>0.91457877420987588</v>
      </c>
      <c r="U51" s="2">
        <f>O51/N51</f>
        <v>0.92189095265228493</v>
      </c>
      <c r="V51" s="2"/>
    </row>
    <row r="52" spans="2:22" x14ac:dyDescent="0.3">
      <c r="B52" s="1">
        <v>1E-8</v>
      </c>
      <c r="C52" s="1">
        <v>3.9944600000000002E-6</v>
      </c>
      <c r="D52" s="1">
        <v>1.70419E-5</v>
      </c>
      <c r="E52" s="1">
        <v>1.30474E-5</v>
      </c>
      <c r="F52" s="1">
        <v>1.7174299999999999E-5</v>
      </c>
      <c r="G52" s="1">
        <v>1.3179900000000001E-5</v>
      </c>
      <c r="H52" s="1">
        <v>1.8454E-5</v>
      </c>
      <c r="I52" s="1">
        <v>1.4459499999999999E-5</v>
      </c>
      <c r="J52" s="1">
        <v>1.9660299999999999E-5</v>
      </c>
      <c r="K52" s="1">
        <v>1.5665899999999999E-5</v>
      </c>
      <c r="L52" s="1">
        <v>2.0904099999999999E-5</v>
      </c>
      <c r="M52" s="1">
        <v>1.6909699999999998E-5</v>
      </c>
      <c r="N52" s="1">
        <v>2.2118100000000001E-5</v>
      </c>
      <c r="O52" s="1">
        <v>1.81236E-5</v>
      </c>
      <c r="P52" s="1">
        <v>0</v>
      </c>
      <c r="Q52" s="2">
        <f>G52/F52</f>
        <v>0.76741992395614389</v>
      </c>
      <c r="R52" s="2">
        <f>I52/H52</f>
        <v>0.78354286333586209</v>
      </c>
      <c r="S52" s="2">
        <f>K52/J52</f>
        <v>0.79682914299374885</v>
      </c>
      <c r="T52" s="2">
        <f>M52/L52</f>
        <v>0.80891786778670216</v>
      </c>
      <c r="U52" s="2">
        <f>O52/N52</f>
        <v>0.81940130481370455</v>
      </c>
      <c r="V52" s="2"/>
    </row>
    <row r="53" spans="2:22" x14ac:dyDescent="0.3">
      <c r="B53" s="1">
        <v>9.9999999999999995E-8</v>
      </c>
      <c r="C53" s="1">
        <v>3.5061100000000002E-5</v>
      </c>
      <c r="D53" s="1">
        <v>6.9134099999999999E-5</v>
      </c>
      <c r="E53" s="1">
        <v>3.4072999999999997E-5</v>
      </c>
      <c r="F53" s="1">
        <v>6.9461099999999998E-5</v>
      </c>
      <c r="G53" s="1">
        <v>3.4399900000000002E-5</v>
      </c>
      <c r="H53" s="1">
        <v>7.2615300000000003E-5</v>
      </c>
      <c r="I53" s="1">
        <v>3.75542E-5</v>
      </c>
      <c r="J53" s="1">
        <v>7.5584400000000001E-5</v>
      </c>
      <c r="K53" s="1">
        <v>4.0523199999999999E-5</v>
      </c>
      <c r="L53" s="1">
        <v>7.8644400000000002E-5</v>
      </c>
      <c r="M53" s="1">
        <v>4.35833E-5</v>
      </c>
      <c r="N53" s="1">
        <v>8.1632199999999994E-5</v>
      </c>
      <c r="O53" s="1">
        <v>4.6571099999999999E-5</v>
      </c>
      <c r="P53" s="1">
        <v>0</v>
      </c>
      <c r="Q53" s="2">
        <f>G53/F53</f>
        <v>0.49523978169075933</v>
      </c>
      <c r="R53" s="2">
        <f>I53/H53</f>
        <v>0.51716649246095514</v>
      </c>
      <c r="S53" s="2">
        <f>K53/J53</f>
        <v>0.53613179439143521</v>
      </c>
      <c r="T53" s="2">
        <f>M53/L53</f>
        <v>0.55418186164558436</v>
      </c>
      <c r="U53" s="2">
        <f>O53/N53</f>
        <v>0.57049914127023404</v>
      </c>
      <c r="V53" s="2"/>
    </row>
    <row r="54" spans="2:22" x14ac:dyDescent="0.3">
      <c r="B54" s="1">
        <v>9.9999999999999995E-7</v>
      </c>
      <c r="C54" s="1">
        <v>1.8649399999999999E-4</v>
      </c>
      <c r="D54" s="1">
        <v>2.4554399999999999E-4</v>
      </c>
      <c r="E54" s="1">
        <v>5.9049999999999999E-5</v>
      </c>
      <c r="F54" s="1">
        <v>2.46302E-4</v>
      </c>
      <c r="G54" s="1">
        <v>5.9808000000000001E-5</v>
      </c>
      <c r="H54" s="1">
        <v>2.5365199999999999E-4</v>
      </c>
      <c r="I54" s="1">
        <v>6.7157700000000002E-5</v>
      </c>
      <c r="J54" s="1">
        <v>2.6059500000000002E-4</v>
      </c>
      <c r="K54" s="1">
        <v>7.4101099999999994E-5</v>
      </c>
      <c r="L54" s="1">
        <v>2.6773699999999999E-4</v>
      </c>
      <c r="M54" s="1">
        <v>8.1242599999999994E-5</v>
      </c>
      <c r="N54" s="1">
        <v>2.7467000000000002E-4</v>
      </c>
      <c r="O54" s="1">
        <v>8.8175699999999997E-5</v>
      </c>
      <c r="P54" s="1">
        <v>0</v>
      </c>
      <c r="Q54" s="2">
        <f>G54/F54</f>
        <v>0.24282385039504348</v>
      </c>
      <c r="R54" s="2">
        <f>I54/H54</f>
        <v>0.26476314005014745</v>
      </c>
      <c r="S54" s="2">
        <f>K54/J54</f>
        <v>0.28435349872407373</v>
      </c>
      <c r="T54" s="2">
        <f>M54/L54</f>
        <v>0.30344181043337304</v>
      </c>
      <c r="U54" s="2">
        <f>O54/N54</f>
        <v>0.32102413805657692</v>
      </c>
      <c r="V54" s="2"/>
    </row>
    <row r="55" spans="2:22" x14ac:dyDescent="0.3">
      <c r="B55" s="1">
        <v>1.0000000000000001E-5</v>
      </c>
      <c r="C55" s="1">
        <v>6.49981E-4</v>
      </c>
      <c r="D55" s="1">
        <v>7.46439E-4</v>
      </c>
      <c r="E55" s="1">
        <v>9.6457899999999997E-5</v>
      </c>
      <c r="F55" s="1">
        <v>7.4792399999999996E-4</v>
      </c>
      <c r="G55" s="1">
        <v>9.7943199999999994E-5</v>
      </c>
      <c r="H55" s="1">
        <v>7.6255799999999999E-4</v>
      </c>
      <c r="I55" s="1">
        <v>1.1257800000000001E-4</v>
      </c>
      <c r="J55" s="1">
        <v>7.7670699999999996E-4</v>
      </c>
      <c r="K55" s="1">
        <v>1.2672599999999999E-4</v>
      </c>
      <c r="L55" s="1">
        <v>7.9148700000000001E-4</v>
      </c>
      <c r="M55" s="1">
        <v>1.4150600000000001E-4</v>
      </c>
      <c r="N55" s="1">
        <v>8.0595899999999997E-4</v>
      </c>
      <c r="O55" s="1">
        <v>1.55978E-4</v>
      </c>
      <c r="P55" s="1">
        <v>0</v>
      </c>
      <c r="Q55" s="2">
        <f>G55/F55</f>
        <v>0.13095341237879785</v>
      </c>
      <c r="R55" s="2">
        <f>I55/H55</f>
        <v>0.14763204897201262</v>
      </c>
      <c r="S55" s="2">
        <f>K55/J55</f>
        <v>0.16315805059050581</v>
      </c>
      <c r="T55" s="2">
        <f>M55/L55</f>
        <v>0.17878499583694996</v>
      </c>
      <c r="U55" s="2">
        <f>O55/N55</f>
        <v>0.19353093643721331</v>
      </c>
      <c r="V55" s="2"/>
    </row>
    <row r="56" spans="2:22" x14ac:dyDescent="0.3">
      <c r="B56" s="1">
        <v>1E-4</v>
      </c>
      <c r="C56">
        <v>1.7600000000000001E-3</v>
      </c>
      <c r="D56">
        <v>1.8799999999999999E-3</v>
      </c>
      <c r="E56" s="1">
        <v>1.23922E-4</v>
      </c>
      <c r="F56">
        <v>1.8799999999999999E-3</v>
      </c>
      <c r="G56" s="1">
        <v>1.2603199999999999E-4</v>
      </c>
      <c r="H56">
        <v>1.9E-3</v>
      </c>
      <c r="I56" s="1">
        <v>1.4718399999999999E-4</v>
      </c>
      <c r="J56">
        <v>1.92E-3</v>
      </c>
      <c r="K56" s="1">
        <v>1.6825600000000001E-4</v>
      </c>
      <c r="L56">
        <v>1.9499999999999999E-3</v>
      </c>
      <c r="M56" s="1">
        <v>1.9089399999999999E-4</v>
      </c>
      <c r="N56">
        <v>1.97E-3</v>
      </c>
      <c r="O56" s="1">
        <v>2.1362599999999999E-4</v>
      </c>
      <c r="P56" s="1">
        <v>0</v>
      </c>
      <c r="Q56" s="2">
        <f>G56/F56</f>
        <v>6.7038297872340419E-2</v>
      </c>
      <c r="R56" s="2">
        <f>I56/H56</f>
        <v>7.7465263157894731E-2</v>
      </c>
      <c r="S56" s="2">
        <f>K56/J56</f>
        <v>8.7633333333333341E-2</v>
      </c>
      <c r="T56" s="2">
        <f>M56/L56</f>
        <v>9.7894358974358969E-2</v>
      </c>
      <c r="U56" s="2">
        <f>O56/N56</f>
        <v>0.10843959390862944</v>
      </c>
      <c r="V56" s="2"/>
    </row>
    <row r="57" spans="2:22" x14ac:dyDescent="0.3">
      <c r="B57" s="1">
        <v>1E-3</v>
      </c>
      <c r="C57">
        <v>3.6600000000000001E-3</v>
      </c>
      <c r="D57">
        <v>3.7799999999999999E-3</v>
      </c>
      <c r="E57" s="1">
        <v>1.16815E-4</v>
      </c>
      <c r="F57">
        <v>3.7799999999999999E-3</v>
      </c>
      <c r="G57" s="1">
        <v>1.18891E-4</v>
      </c>
      <c r="H57">
        <v>3.8E-3</v>
      </c>
      <c r="I57" s="1">
        <v>1.3989100000000001E-4</v>
      </c>
      <c r="J57">
        <v>3.82E-3</v>
      </c>
      <c r="K57" s="1">
        <v>1.6119300000000001E-4</v>
      </c>
      <c r="L57">
        <v>3.8400000000000001E-3</v>
      </c>
      <c r="M57" s="1">
        <v>1.8454800000000001E-4</v>
      </c>
      <c r="N57">
        <v>3.8700000000000002E-3</v>
      </c>
      <c r="O57" s="1">
        <v>2.0851999999999999E-4</v>
      </c>
      <c r="P57" s="1">
        <v>0</v>
      </c>
      <c r="Q57" s="2">
        <f>G57/F57</f>
        <v>3.1452645502645503E-2</v>
      </c>
      <c r="R57" s="2">
        <f>I57/H57</f>
        <v>3.6813421052631579E-2</v>
      </c>
      <c r="S57" s="2">
        <f>K57/J57</f>
        <v>4.2197120418848169E-2</v>
      </c>
      <c r="T57" s="2">
        <f>M57/L57</f>
        <v>4.8059375000000001E-2</v>
      </c>
      <c r="U57" s="2">
        <f>O57/N57</f>
        <v>5.3881136950904386E-2</v>
      </c>
      <c r="V57" s="2"/>
    </row>
    <row r="58" spans="2:22" x14ac:dyDescent="0.3">
      <c r="B58">
        <v>0.01</v>
      </c>
      <c r="C58">
        <v>5.9199999999999999E-3</v>
      </c>
      <c r="D58">
        <v>5.9899999999999997E-3</v>
      </c>
      <c r="E58" s="1">
        <v>7.7563400000000003E-5</v>
      </c>
      <c r="F58">
        <v>6.0000000000000001E-3</v>
      </c>
      <c r="G58" s="1">
        <v>7.8971899999999995E-5</v>
      </c>
      <c r="H58">
        <v>6.0099999999999997E-3</v>
      </c>
      <c r="I58" s="1">
        <v>9.3287299999999997E-5</v>
      </c>
      <c r="J58">
        <v>6.0299999999999998E-3</v>
      </c>
      <c r="K58" s="1">
        <v>1.07934E-4</v>
      </c>
      <c r="L58">
        <v>6.0400000000000002E-3</v>
      </c>
      <c r="M58" s="1">
        <v>1.2415500000000001E-4</v>
      </c>
      <c r="N58">
        <v>6.0600000000000003E-3</v>
      </c>
      <c r="O58" s="1">
        <v>1.4100699999999999E-4</v>
      </c>
      <c r="P58" s="1">
        <v>0</v>
      </c>
      <c r="Q58" s="2">
        <f>G58/F58</f>
        <v>1.3161983333333332E-2</v>
      </c>
      <c r="R58" s="2">
        <f>I58/H58</f>
        <v>1.5522013311148086E-2</v>
      </c>
      <c r="S58" s="2">
        <f>K58/J58</f>
        <v>1.789950248756219E-2</v>
      </c>
      <c r="T58" s="2">
        <f>M58/L58</f>
        <v>2.055546357615894E-2</v>
      </c>
      <c r="U58" s="2">
        <f>O58/N58</f>
        <v>2.3268481848184815E-2</v>
      </c>
      <c r="V58" s="2"/>
    </row>
    <row r="59" spans="2:22" x14ac:dyDescent="0.3">
      <c r="B59">
        <v>0.1</v>
      </c>
      <c r="C59">
        <v>7.92E-3</v>
      </c>
      <c r="D59">
        <v>7.9699999999999997E-3</v>
      </c>
      <c r="E59" s="1">
        <v>4.8565700000000002E-5</v>
      </c>
      <c r="F59">
        <v>7.9699999999999997E-3</v>
      </c>
      <c r="G59" s="1">
        <v>4.9463699999999999E-5</v>
      </c>
      <c r="H59">
        <v>7.9799999999999992E-3</v>
      </c>
      <c r="I59" s="1">
        <v>5.8624400000000001E-5</v>
      </c>
      <c r="J59">
        <v>7.9900000000000006E-3</v>
      </c>
      <c r="K59" s="1">
        <v>6.8061500000000006E-5</v>
      </c>
      <c r="L59">
        <v>8.0000000000000002E-3</v>
      </c>
      <c r="M59" s="1">
        <v>7.8591599999999995E-5</v>
      </c>
      <c r="N59">
        <v>8.0099999999999998E-3</v>
      </c>
      <c r="O59" s="1">
        <v>8.9625300000000004E-5</v>
      </c>
      <c r="P59" s="1">
        <v>0</v>
      </c>
      <c r="Q59" s="2">
        <f>G59/F59</f>
        <v>6.2062358845671271E-3</v>
      </c>
      <c r="R59" s="2">
        <f>I59/H59</f>
        <v>7.3464160401002518E-3</v>
      </c>
      <c r="S59" s="2">
        <f>K59/J59</f>
        <v>8.518335419274093E-3</v>
      </c>
      <c r="T59" s="2">
        <f>M59/L59</f>
        <v>9.8239499999999997E-3</v>
      </c>
      <c r="U59" s="2">
        <f>O59/N59</f>
        <v>1.1189176029962548E-2</v>
      </c>
      <c r="V59" s="2"/>
    </row>
    <row r="60" spans="2:22" x14ac:dyDescent="0.3">
      <c r="B60">
        <v>0.2</v>
      </c>
      <c r="C60">
        <v>8.5000000000000006E-3</v>
      </c>
      <c r="D60">
        <v>8.5400000000000007E-3</v>
      </c>
      <c r="E60" s="1">
        <v>4.6010600000000003E-5</v>
      </c>
      <c r="F60">
        <v>8.5400000000000007E-3</v>
      </c>
      <c r="G60" s="1">
        <v>4.68591E-5</v>
      </c>
      <c r="H60">
        <v>8.5500000000000003E-3</v>
      </c>
      <c r="I60" s="1">
        <v>5.55119E-5</v>
      </c>
      <c r="J60">
        <v>8.5599999999999999E-3</v>
      </c>
      <c r="K60" s="1">
        <v>6.4422600000000002E-5</v>
      </c>
      <c r="L60">
        <v>8.5699999999999995E-3</v>
      </c>
      <c r="M60" s="1">
        <v>7.4364100000000002E-5</v>
      </c>
      <c r="N60">
        <v>8.5800000000000008E-3</v>
      </c>
      <c r="O60" s="1">
        <v>8.4780700000000006E-5</v>
      </c>
      <c r="P60" s="1">
        <v>0</v>
      </c>
      <c r="Q60" s="2">
        <f>G60/F60</f>
        <v>5.4870140515222475E-3</v>
      </c>
      <c r="R60" s="2">
        <f>I60/H60</f>
        <v>6.4926198830409353E-3</v>
      </c>
      <c r="S60" s="2">
        <f>K60/J60</f>
        <v>7.5260046728971965E-3</v>
      </c>
      <c r="T60" s="2">
        <f>M60/L60</f>
        <v>8.6772578763127193E-3</v>
      </c>
      <c r="U60" s="2">
        <f>O60/N60</f>
        <v>9.8812004662004668E-3</v>
      </c>
      <c r="V60" s="2"/>
    </row>
    <row r="61" spans="2:22" x14ac:dyDescent="0.3">
      <c r="B61">
        <v>0.5</v>
      </c>
      <c r="C61">
        <v>9.2499999999999995E-3</v>
      </c>
      <c r="D61">
        <v>9.2899999999999996E-3</v>
      </c>
      <c r="E61" s="1">
        <v>4.3420200000000001E-5</v>
      </c>
      <c r="F61">
        <v>9.2899999999999996E-3</v>
      </c>
      <c r="G61" s="1">
        <v>4.4202100000000002E-5</v>
      </c>
      <c r="H61">
        <v>9.2999999999999992E-3</v>
      </c>
      <c r="I61" s="1">
        <v>5.2152599999999999E-5</v>
      </c>
      <c r="J61">
        <v>9.3100000000000006E-3</v>
      </c>
      <c r="K61" s="1">
        <v>6.0298499999999999E-5</v>
      </c>
      <c r="L61">
        <v>9.3200000000000002E-3</v>
      </c>
      <c r="M61" s="1">
        <v>6.9343099999999997E-5</v>
      </c>
      <c r="N61">
        <v>9.3299999999999998E-3</v>
      </c>
      <c r="O61" s="1">
        <v>7.8775499999999998E-5</v>
      </c>
      <c r="P61" s="1">
        <v>0</v>
      </c>
      <c r="Q61" s="2">
        <f>G61/F61</f>
        <v>4.7580301399354147E-3</v>
      </c>
      <c r="R61" s="2">
        <f>I61/H61</f>
        <v>5.6078064516129032E-3</v>
      </c>
      <c r="S61" s="2">
        <f>K61/J61</f>
        <v>6.4767454350161116E-3</v>
      </c>
      <c r="T61" s="2">
        <f>M61/L61</f>
        <v>7.4402467811158796E-3</v>
      </c>
      <c r="U61" s="2">
        <f>O61/N61</f>
        <v>8.4432475884244369E-3</v>
      </c>
      <c r="V61" s="2"/>
    </row>
    <row r="62" spans="2:22" x14ac:dyDescent="0.3">
      <c r="B62">
        <v>1</v>
      </c>
      <c r="C62">
        <v>9.7599999999999996E-3</v>
      </c>
      <c r="D62">
        <v>9.7999999999999997E-3</v>
      </c>
      <c r="E62" s="1">
        <v>4.0683399999999997E-5</v>
      </c>
      <c r="F62">
        <v>9.7999999999999997E-3</v>
      </c>
      <c r="G62" s="1">
        <v>4.1384200000000003E-5</v>
      </c>
      <c r="H62">
        <v>9.8099999999999993E-3</v>
      </c>
      <c r="I62" s="1">
        <v>4.84752E-5</v>
      </c>
      <c r="J62">
        <v>9.8200000000000006E-3</v>
      </c>
      <c r="K62" s="1">
        <v>5.5676200000000001E-5</v>
      </c>
      <c r="L62">
        <v>9.8200000000000006E-3</v>
      </c>
      <c r="M62" s="1">
        <v>6.3603700000000002E-5</v>
      </c>
      <c r="N62">
        <v>9.8300000000000002E-3</v>
      </c>
      <c r="O62" s="1">
        <v>7.1800399999999998E-5</v>
      </c>
      <c r="P62" s="1">
        <v>0</v>
      </c>
      <c r="Q62" s="2">
        <f>G62/F62</f>
        <v>4.2228775510204089E-3</v>
      </c>
      <c r="R62" s="2">
        <f>I62/H62</f>
        <v>4.9414067278287467E-3</v>
      </c>
      <c r="S62" s="2">
        <f>K62/J62</f>
        <v>5.6696741344195514E-3</v>
      </c>
      <c r="T62" s="2">
        <f>M62/L62</f>
        <v>6.4769551934826886E-3</v>
      </c>
      <c r="U62" s="2">
        <f>O62/N62</f>
        <v>7.3042115971515761E-3</v>
      </c>
      <c r="V62" s="2"/>
    </row>
    <row r="63" spans="2:22" x14ac:dyDescent="0.3">
      <c r="B63">
        <v>2</v>
      </c>
      <c r="C63">
        <v>1.017E-2</v>
      </c>
      <c r="D63">
        <v>1.021E-2</v>
      </c>
      <c r="E63" s="1">
        <v>3.8763000000000001E-5</v>
      </c>
      <c r="F63">
        <v>1.021E-2</v>
      </c>
      <c r="G63" s="1">
        <v>3.9381000000000001E-5</v>
      </c>
      <c r="H63">
        <v>1.022E-2</v>
      </c>
      <c r="I63" s="1">
        <v>4.5582299999999999E-5</v>
      </c>
      <c r="J63">
        <v>1.023E-2</v>
      </c>
      <c r="K63" s="1">
        <v>5.1783100000000002E-5</v>
      </c>
      <c r="L63">
        <v>1.023E-2</v>
      </c>
      <c r="M63" s="1">
        <v>5.8505799999999998E-5</v>
      </c>
      <c r="N63">
        <v>1.0240000000000001E-2</v>
      </c>
      <c r="O63" s="1">
        <v>6.5350899999999998E-5</v>
      </c>
      <c r="P63" s="1">
        <v>0</v>
      </c>
      <c r="Q63" s="2">
        <f>G63/F63</f>
        <v>3.8571008814887366E-3</v>
      </c>
      <c r="R63" s="2">
        <f>I63/H63</f>
        <v>4.4601076320939332E-3</v>
      </c>
      <c r="S63" s="2">
        <f>K63/J63</f>
        <v>5.0618866080156411E-3</v>
      </c>
      <c r="T63" s="2">
        <f>M63/L63</f>
        <v>5.7190420332355815E-3</v>
      </c>
      <c r="U63" s="2">
        <f>O63/N63</f>
        <v>6.3819238281249994E-3</v>
      </c>
      <c r="V63" s="2"/>
    </row>
    <row r="64" spans="2:22" x14ac:dyDescent="0.3">
      <c r="B64">
        <v>4</v>
      </c>
      <c r="C64">
        <v>1.0460000000000001E-2</v>
      </c>
      <c r="D64">
        <v>1.0500000000000001E-2</v>
      </c>
      <c r="E64" s="1">
        <v>4.0917700000000003E-5</v>
      </c>
      <c r="F64">
        <v>1.0500000000000001E-2</v>
      </c>
      <c r="G64" s="1">
        <v>4.1508899999999998E-5</v>
      </c>
      <c r="H64">
        <v>1.051E-2</v>
      </c>
      <c r="I64" s="1">
        <v>4.7376500000000003E-5</v>
      </c>
      <c r="J64">
        <v>1.051E-2</v>
      </c>
      <c r="K64" s="1">
        <v>5.3119499999999999E-5</v>
      </c>
      <c r="L64">
        <v>1.052E-2</v>
      </c>
      <c r="M64" s="1">
        <v>5.9212000000000002E-5</v>
      </c>
      <c r="N64">
        <v>1.0529999999999999E-2</v>
      </c>
      <c r="O64" s="1">
        <v>6.5281600000000002E-5</v>
      </c>
      <c r="P64" s="1">
        <v>0</v>
      </c>
      <c r="Q64" s="2">
        <f>G64/F64</f>
        <v>3.9532285714285707E-3</v>
      </c>
      <c r="R64" s="2">
        <f>I64/H64</f>
        <v>4.5077545195052332E-3</v>
      </c>
      <c r="S64" s="2">
        <f>K64/J64</f>
        <v>5.0541864890580393E-3</v>
      </c>
      <c r="T64" s="2">
        <f>M64/L64</f>
        <v>5.6285171102661603E-3</v>
      </c>
      <c r="U64" s="2">
        <f>O64/N64</f>
        <v>6.1995821462488138E-3</v>
      </c>
      <c r="V64" s="2"/>
    </row>
    <row r="65" spans="2:22" x14ac:dyDescent="0.3">
      <c r="B65">
        <v>8</v>
      </c>
      <c r="C65">
        <v>1.064E-2</v>
      </c>
      <c r="D65">
        <v>1.069E-2</v>
      </c>
      <c r="E65" s="1">
        <v>5.0056499999999998E-5</v>
      </c>
      <c r="F65">
        <v>1.069E-2</v>
      </c>
      <c r="G65" s="1">
        <v>5.0728700000000001E-5</v>
      </c>
      <c r="H65">
        <v>1.069E-2</v>
      </c>
      <c r="I65" s="1">
        <v>5.7343799999999998E-5</v>
      </c>
      <c r="J65">
        <v>1.0699999999999999E-2</v>
      </c>
      <c r="K65" s="1">
        <v>6.3702199999999995E-5</v>
      </c>
      <c r="L65">
        <v>1.0710000000000001E-2</v>
      </c>
      <c r="M65" s="1">
        <v>7.0322100000000002E-5</v>
      </c>
      <c r="N65">
        <v>1.0710000000000001E-2</v>
      </c>
      <c r="O65" s="1">
        <v>7.6795100000000006E-5</v>
      </c>
      <c r="P65" s="1">
        <v>0</v>
      </c>
      <c r="Q65" s="2">
        <f>G65/F65</f>
        <v>4.7454349859681949E-3</v>
      </c>
      <c r="R65" s="2">
        <f>I65/H65</f>
        <v>5.3642469597754913E-3</v>
      </c>
      <c r="S65" s="2">
        <f>K65/J65</f>
        <v>5.9534766355140182E-3</v>
      </c>
      <c r="T65" s="2">
        <f>M65/L65</f>
        <v>6.5660224089635856E-3</v>
      </c>
      <c r="U65" s="2">
        <f>O65/N65</f>
        <v>7.1704108309990668E-3</v>
      </c>
      <c r="V65" s="2"/>
    </row>
    <row r="66" spans="2:22" x14ac:dyDescent="0.3">
      <c r="B66">
        <v>16</v>
      </c>
      <c r="C66">
        <v>1.074E-2</v>
      </c>
      <c r="D66">
        <v>1.0800000000000001E-2</v>
      </c>
      <c r="E66" s="1">
        <v>6.7582699999999999E-5</v>
      </c>
      <c r="F66">
        <v>1.081E-2</v>
      </c>
      <c r="G66" s="1">
        <v>6.8469500000000006E-5</v>
      </c>
      <c r="H66">
        <v>1.081E-2</v>
      </c>
      <c r="I66" s="1">
        <v>7.7169000000000006E-5</v>
      </c>
      <c r="J66">
        <v>1.082E-2</v>
      </c>
      <c r="K66" s="1">
        <v>8.5468099999999996E-5</v>
      </c>
      <c r="L66">
        <v>1.0829999999999999E-2</v>
      </c>
      <c r="M66" s="1">
        <v>9.4040400000000002E-5</v>
      </c>
      <c r="N66">
        <v>1.0840000000000001E-2</v>
      </c>
      <c r="O66" s="1">
        <v>1.02357E-4</v>
      </c>
      <c r="P66" s="1">
        <v>0</v>
      </c>
      <c r="Q66" s="2">
        <f>G66/F66</f>
        <v>6.3339037927844588E-3</v>
      </c>
      <c r="R66" s="2">
        <f>I66/H66</f>
        <v>7.1386679000925071E-3</v>
      </c>
      <c r="S66" s="2">
        <f>K66/J66</f>
        <v>7.8990850277264324E-3</v>
      </c>
      <c r="T66" s="2">
        <f>M66/L66</f>
        <v>8.683324099722993E-3</v>
      </c>
      <c r="U66" s="2">
        <f>O66/N66</f>
        <v>9.4425276752767521E-3</v>
      </c>
      <c r="V66" s="2"/>
    </row>
    <row r="67" spans="2:22" x14ac:dyDescent="0.3">
      <c r="B67">
        <v>32</v>
      </c>
      <c r="C67">
        <v>1.081E-2</v>
      </c>
      <c r="D67">
        <v>1.09E-2</v>
      </c>
      <c r="E67" s="1">
        <v>9.3969700000000003E-5</v>
      </c>
      <c r="F67">
        <v>1.091E-2</v>
      </c>
      <c r="G67" s="1">
        <v>9.5212900000000004E-5</v>
      </c>
      <c r="H67">
        <v>1.0919999999999999E-2</v>
      </c>
      <c r="I67" s="1">
        <v>1.0740599999999999E-4</v>
      </c>
      <c r="J67">
        <v>1.093E-2</v>
      </c>
      <c r="K67" s="1">
        <v>1.19033E-4</v>
      </c>
      <c r="L67">
        <v>1.094E-2</v>
      </c>
      <c r="M67" s="1">
        <v>1.3103100000000001E-4</v>
      </c>
      <c r="N67">
        <v>1.095E-2</v>
      </c>
      <c r="O67" s="1">
        <v>1.42657E-4</v>
      </c>
      <c r="P67" s="1">
        <v>0</v>
      </c>
      <c r="Q67" s="2">
        <f>G67/F67</f>
        <v>8.7271219065077916E-3</v>
      </c>
      <c r="R67" s="2">
        <f>I67/H67</f>
        <v>9.8357142857142862E-3</v>
      </c>
      <c r="S67" s="2">
        <f>K67/J67</f>
        <v>1.0890484903934126E-2</v>
      </c>
      <c r="T67" s="2">
        <f>M67/L67</f>
        <v>1.1977239488117002E-2</v>
      </c>
      <c r="U67" s="2">
        <f>O67/N67</f>
        <v>1.3028036529680365E-2</v>
      </c>
      <c r="V67" s="2"/>
    </row>
    <row r="68" spans="2:22" x14ac:dyDescent="0.3">
      <c r="B68">
        <v>64</v>
      </c>
      <c r="C68">
        <v>1.089E-2</v>
      </c>
      <c r="D68">
        <v>1.102E-2</v>
      </c>
      <c r="E68" s="1">
        <v>1.2960599999999999E-4</v>
      </c>
      <c r="F68">
        <v>1.102E-2</v>
      </c>
      <c r="G68" s="1">
        <v>1.3135499999999999E-4</v>
      </c>
      <c r="H68">
        <v>1.1039999999999999E-2</v>
      </c>
      <c r="I68" s="1">
        <v>1.4850200000000001E-4</v>
      </c>
      <c r="J68">
        <v>1.1050000000000001E-2</v>
      </c>
      <c r="K68" s="1">
        <v>1.6487699999999999E-4</v>
      </c>
      <c r="L68">
        <v>1.107E-2</v>
      </c>
      <c r="M68" s="1">
        <v>1.81795E-4</v>
      </c>
      <c r="N68">
        <v>1.1089999999999999E-2</v>
      </c>
      <c r="O68" s="1">
        <v>1.9819299999999999E-4</v>
      </c>
      <c r="P68" s="1">
        <v>0</v>
      </c>
      <c r="Q68" s="2">
        <f>G68/F68</f>
        <v>1.1919691470054445E-2</v>
      </c>
      <c r="R68" s="2">
        <f>I68/H68</f>
        <v>1.3451268115942031E-2</v>
      </c>
      <c r="S68" s="2">
        <f>K68/J68</f>
        <v>1.492099547511312E-2</v>
      </c>
      <c r="T68" s="2">
        <f>M68/L68</f>
        <v>1.6422312556458898E-2</v>
      </c>
      <c r="U68" s="2">
        <f>O68/N68</f>
        <v>1.7871325518485123E-2</v>
      </c>
      <c r="V68" s="2"/>
    </row>
    <row r="69" spans="2:22" x14ac:dyDescent="0.3">
      <c r="B69">
        <v>128</v>
      </c>
      <c r="C69">
        <v>1.0999999999999999E-2</v>
      </c>
      <c r="D69">
        <v>1.1169999999999999E-2</v>
      </c>
      <c r="E69" s="1">
        <v>1.7484E-4</v>
      </c>
      <c r="F69">
        <v>1.1169999999999999E-2</v>
      </c>
      <c r="G69" s="1">
        <v>1.7725099999999999E-4</v>
      </c>
      <c r="H69">
        <v>1.12E-2</v>
      </c>
      <c r="I69" s="1">
        <v>2.00872E-4</v>
      </c>
      <c r="J69">
        <v>1.1220000000000001E-2</v>
      </c>
      <c r="K69" s="1">
        <v>2.23468E-4</v>
      </c>
      <c r="L69">
        <v>1.124E-2</v>
      </c>
      <c r="M69" s="1">
        <v>2.4684700000000002E-4</v>
      </c>
      <c r="N69">
        <v>1.1270000000000001E-2</v>
      </c>
      <c r="O69" s="1">
        <v>2.6952500000000001E-4</v>
      </c>
      <c r="P69" s="1">
        <v>0</v>
      </c>
      <c r="Q69" s="2">
        <f>G69/F69</f>
        <v>1.5868487018800358E-2</v>
      </c>
      <c r="R69" s="2">
        <f>I69/H69</f>
        <v>1.7935E-2</v>
      </c>
      <c r="S69" s="2">
        <f>K69/J69</f>
        <v>1.991693404634581E-2</v>
      </c>
      <c r="T69" s="2">
        <f>M69/L69</f>
        <v>2.1961476868327404E-2</v>
      </c>
      <c r="U69" s="2">
        <f>O69/N69</f>
        <v>2.3915261756876662E-2</v>
      </c>
      <c r="V69" s="2"/>
    </row>
    <row r="70" spans="2:22" x14ac:dyDescent="0.3">
      <c r="B70">
        <v>256</v>
      </c>
      <c r="C70">
        <v>1.116E-2</v>
      </c>
      <c r="D70">
        <v>1.1390000000000001E-2</v>
      </c>
      <c r="E70" s="1">
        <v>2.2960100000000001E-4</v>
      </c>
      <c r="F70">
        <v>1.1390000000000001E-2</v>
      </c>
      <c r="G70" s="1">
        <v>2.3282700000000001E-4</v>
      </c>
      <c r="H70">
        <v>1.142E-2</v>
      </c>
      <c r="I70" s="1">
        <v>2.6444499999999998E-4</v>
      </c>
      <c r="J70">
        <v>1.145E-2</v>
      </c>
      <c r="K70" s="1">
        <v>2.9474999999999998E-4</v>
      </c>
      <c r="L70">
        <v>1.1480000000000001E-2</v>
      </c>
      <c r="M70" s="1">
        <v>3.2615500000000001E-4</v>
      </c>
      <c r="N70">
        <v>1.1520000000000001E-2</v>
      </c>
      <c r="O70" s="1">
        <v>3.56652E-4</v>
      </c>
      <c r="P70" s="1">
        <v>0</v>
      </c>
      <c r="Q70" s="2">
        <f>G70/F70</f>
        <v>2.0441352063213344E-2</v>
      </c>
      <c r="R70" s="2">
        <f>I70/H70</f>
        <v>2.315630472854641E-2</v>
      </c>
      <c r="S70" s="2">
        <f>K70/J70</f>
        <v>2.5742358078602617E-2</v>
      </c>
      <c r="T70" s="2">
        <f>M70/L70</f>
        <v>2.8410714285714286E-2</v>
      </c>
      <c r="U70" s="2">
        <f>O70/N70</f>
        <v>3.0959374999999997E-2</v>
      </c>
      <c r="V70" s="2"/>
    </row>
    <row r="71" spans="2:22" x14ac:dyDescent="0.3">
      <c r="B71">
        <v>512</v>
      </c>
      <c r="C71">
        <v>1.1390000000000001E-2</v>
      </c>
      <c r="D71">
        <v>1.1690000000000001E-2</v>
      </c>
      <c r="E71" s="1">
        <v>2.9291000000000001E-4</v>
      </c>
      <c r="F71">
        <v>1.1690000000000001E-2</v>
      </c>
      <c r="G71" s="1">
        <v>2.9709000000000002E-4</v>
      </c>
      <c r="H71">
        <v>1.1730000000000001E-2</v>
      </c>
      <c r="I71" s="1">
        <v>3.3810600000000002E-4</v>
      </c>
      <c r="J71">
        <v>1.1769999999999999E-2</v>
      </c>
      <c r="K71" s="1">
        <v>3.7750499999999998E-4</v>
      </c>
      <c r="L71">
        <v>1.1809999999999999E-2</v>
      </c>
      <c r="M71" s="1">
        <v>4.1840699999999998E-4</v>
      </c>
      <c r="N71">
        <v>1.1849999999999999E-2</v>
      </c>
      <c r="O71" s="1">
        <v>4.5818200000000001E-4</v>
      </c>
      <c r="P71" s="1">
        <v>0</v>
      </c>
      <c r="Q71" s="2">
        <f>G71/F71</f>
        <v>2.5414029084687768E-2</v>
      </c>
      <c r="R71" s="2">
        <f>I71/H71</f>
        <v>2.8824040920716113E-2</v>
      </c>
      <c r="S71" s="2">
        <f>K71/J71</f>
        <v>3.2073491928632118E-2</v>
      </c>
      <c r="T71" s="2">
        <f>M71/L71</f>
        <v>3.5428196443691787E-2</v>
      </c>
      <c r="U71" s="2">
        <f>O71/N71</f>
        <v>3.8665147679324899E-2</v>
      </c>
      <c r="V71" s="2"/>
    </row>
    <row r="72" spans="2:22" x14ac:dyDescent="0.3">
      <c r="B72">
        <v>1024</v>
      </c>
      <c r="C72">
        <v>1.1730000000000001E-2</v>
      </c>
      <c r="D72">
        <v>1.209E-2</v>
      </c>
      <c r="E72" s="1">
        <v>3.62636E-4</v>
      </c>
      <c r="F72">
        <v>1.209E-2</v>
      </c>
      <c r="G72" s="1">
        <v>3.6788100000000002E-4</v>
      </c>
      <c r="H72">
        <v>1.2149999999999999E-2</v>
      </c>
      <c r="I72" s="1">
        <v>4.19424E-4</v>
      </c>
      <c r="J72">
        <v>1.2200000000000001E-2</v>
      </c>
      <c r="K72" s="1">
        <v>4.6904200000000003E-4</v>
      </c>
      <c r="L72">
        <v>1.225E-2</v>
      </c>
      <c r="M72" s="1">
        <v>5.2065100000000001E-4</v>
      </c>
      <c r="N72">
        <v>1.23E-2</v>
      </c>
      <c r="O72" s="1">
        <v>5.7091399999999995E-4</v>
      </c>
      <c r="P72" s="1">
        <v>0</v>
      </c>
      <c r="Q72" s="2">
        <f>G72/F72</f>
        <v>3.0428535980148885E-2</v>
      </c>
      <c r="R72" s="2">
        <f>I72/H72</f>
        <v>3.4520493827160499E-2</v>
      </c>
      <c r="S72" s="2">
        <f>K72/J72</f>
        <v>3.8446065573770491E-2</v>
      </c>
      <c r="T72" s="2">
        <f>M72/L72</f>
        <v>4.2502122448979593E-2</v>
      </c>
      <c r="U72" s="2">
        <f>O72/N72</f>
        <v>4.6415772357723574E-2</v>
      </c>
      <c r="V72" s="2"/>
    </row>
    <row r="73" spans="2:22" x14ac:dyDescent="0.3">
      <c r="B73">
        <v>2048</v>
      </c>
      <c r="C73">
        <v>1.218E-2</v>
      </c>
      <c r="D73">
        <v>1.261E-2</v>
      </c>
      <c r="E73" s="1">
        <v>4.3563199999999998E-4</v>
      </c>
      <c r="F73">
        <v>1.2619999999999999E-2</v>
      </c>
      <c r="G73" s="1">
        <v>4.4201E-4</v>
      </c>
      <c r="H73">
        <v>1.268E-2</v>
      </c>
      <c r="I73" s="1">
        <v>5.0474299999999999E-4</v>
      </c>
      <c r="J73">
        <v>1.274E-2</v>
      </c>
      <c r="K73" s="1">
        <v>5.6525599999999998E-4</v>
      </c>
      <c r="L73">
        <v>1.281E-2</v>
      </c>
      <c r="M73" s="1">
        <v>6.2831300000000003E-4</v>
      </c>
      <c r="N73">
        <v>1.2869999999999999E-2</v>
      </c>
      <c r="O73" s="1">
        <v>6.8981999999999995E-4</v>
      </c>
      <c r="P73" s="1">
        <v>0</v>
      </c>
      <c r="Q73" s="2">
        <f>G73/F73</f>
        <v>3.5024564183835184E-2</v>
      </c>
      <c r="R73" s="2">
        <f>I73/H73</f>
        <v>3.980623028391167E-2</v>
      </c>
      <c r="S73" s="2">
        <f>K73/J73</f>
        <v>4.436860282574568E-2</v>
      </c>
      <c r="T73" s="2">
        <f>M73/L73</f>
        <v>4.9048633879781423E-2</v>
      </c>
      <c r="U73" s="2">
        <f>O73/N73</f>
        <v>5.3599067599067594E-2</v>
      </c>
      <c r="V73" s="2"/>
    </row>
    <row r="74" spans="2:22" x14ac:dyDescent="0.3">
      <c r="B74">
        <v>4096</v>
      </c>
      <c r="C74">
        <v>1.277E-2</v>
      </c>
      <c r="D74">
        <v>1.328E-2</v>
      </c>
      <c r="E74" s="1">
        <v>5.07925E-4</v>
      </c>
      <c r="F74">
        <v>1.328E-2</v>
      </c>
      <c r="G74" s="1">
        <v>5.1543599999999998E-4</v>
      </c>
      <c r="H74">
        <v>1.336E-2</v>
      </c>
      <c r="I74" s="1">
        <v>5.8939400000000003E-4</v>
      </c>
      <c r="J74">
        <v>1.3429999999999999E-2</v>
      </c>
      <c r="K74" s="1">
        <v>6.6086599999999997E-4</v>
      </c>
      <c r="L74">
        <v>1.35E-2</v>
      </c>
      <c r="M74" s="1">
        <v>7.3547399999999996E-4</v>
      </c>
      <c r="N74">
        <v>1.358E-2</v>
      </c>
      <c r="O74" s="1">
        <v>8.0836500000000002E-4</v>
      </c>
      <c r="P74" s="1">
        <v>0</v>
      </c>
      <c r="Q74" s="2">
        <f>G74/F74</f>
        <v>3.8812951807228914E-2</v>
      </c>
      <c r="R74" s="2">
        <f>I74/H74</f>
        <v>4.4116317365269463E-2</v>
      </c>
      <c r="S74" s="2">
        <f>K74/J74</f>
        <v>4.9208190618019364E-2</v>
      </c>
      <c r="T74" s="2">
        <f>M74/L74</f>
        <v>5.4479555555555552E-2</v>
      </c>
      <c r="U74" s="2">
        <f>O74/N74</f>
        <v>5.952614138438881E-2</v>
      </c>
      <c r="V74" s="2"/>
    </row>
    <row r="75" spans="2:22" x14ac:dyDescent="0.3">
      <c r="B75">
        <v>8192</v>
      </c>
      <c r="C75">
        <v>1.3509999999999999E-2</v>
      </c>
      <c r="D75">
        <v>1.409E-2</v>
      </c>
      <c r="E75" s="1">
        <v>5.7524500000000005E-4</v>
      </c>
      <c r="F75">
        <v>1.409E-2</v>
      </c>
      <c r="G75" s="1">
        <v>5.8382400000000004E-4</v>
      </c>
      <c r="H75">
        <v>1.418E-2</v>
      </c>
      <c r="I75" s="1">
        <v>6.6838499999999996E-4</v>
      </c>
      <c r="J75">
        <v>1.426E-2</v>
      </c>
      <c r="K75" s="1">
        <v>7.5024100000000002E-4</v>
      </c>
      <c r="L75">
        <v>1.435E-2</v>
      </c>
      <c r="M75" s="1">
        <v>8.35825E-4</v>
      </c>
      <c r="N75">
        <v>1.443E-2</v>
      </c>
      <c r="O75" s="1">
        <v>9.1956299999999998E-4</v>
      </c>
      <c r="P75" s="1">
        <v>0</v>
      </c>
      <c r="Q75" s="2">
        <f>G75/F75</f>
        <v>4.1435344215755857E-2</v>
      </c>
      <c r="R75" s="2">
        <f>I75/H75</f>
        <v>4.7135754583921011E-2</v>
      </c>
      <c r="S75" s="2">
        <f>K75/J75</f>
        <v>5.2611570827489483E-2</v>
      </c>
      <c r="T75" s="2">
        <f>M75/L75</f>
        <v>5.8245644599303134E-2</v>
      </c>
      <c r="U75" s="2">
        <f>O75/N75</f>
        <v>6.3725779625779619E-2</v>
      </c>
      <c r="V75" s="2"/>
    </row>
    <row r="76" spans="2:22" x14ac:dyDescent="0.3">
      <c r="B76">
        <v>16384</v>
      </c>
      <c r="C76">
        <v>1.4409999999999999E-2</v>
      </c>
      <c r="D76">
        <v>1.504E-2</v>
      </c>
      <c r="E76" s="1">
        <v>6.3384200000000002E-4</v>
      </c>
      <c r="F76">
        <v>1.5049999999999999E-2</v>
      </c>
      <c r="G76" s="1">
        <v>6.4336199999999997E-4</v>
      </c>
      <c r="H76">
        <v>1.515E-2</v>
      </c>
      <c r="I76" s="1">
        <v>7.3727099999999996E-4</v>
      </c>
      <c r="J76">
        <v>1.524E-2</v>
      </c>
      <c r="K76" s="1">
        <v>8.2830200000000005E-4</v>
      </c>
      <c r="L76">
        <v>1.533E-2</v>
      </c>
      <c r="M76" s="1">
        <v>9.2361099999999996E-4</v>
      </c>
      <c r="N76">
        <v>1.5429999999999999E-2</v>
      </c>
      <c r="O76">
        <v>1.0200000000000001E-3</v>
      </c>
      <c r="P76" s="1">
        <v>0</v>
      </c>
      <c r="Q76" s="2">
        <f>G76/F76</f>
        <v>4.2748305647840532E-2</v>
      </c>
      <c r="R76" s="2">
        <f>I76/H76</f>
        <v>4.8664752475247521E-2</v>
      </c>
      <c r="S76" s="2">
        <f>K76/J76</f>
        <v>5.4350524934383207E-2</v>
      </c>
      <c r="T76" s="2">
        <f>M76/L76</f>
        <v>6.0248597521200258E-2</v>
      </c>
      <c r="U76" s="2">
        <f>O76/N76</f>
        <v>6.6104990278677903E-2</v>
      </c>
      <c r="V76" s="2"/>
    </row>
    <row r="77" spans="2:22" x14ac:dyDescent="0.3">
      <c r="B77">
        <v>32768</v>
      </c>
      <c r="C77">
        <v>1.546E-2</v>
      </c>
      <c r="D77">
        <v>1.6140000000000002E-2</v>
      </c>
      <c r="E77" s="1">
        <v>6.8092200000000004E-4</v>
      </c>
      <c r="F77">
        <v>1.6150000000000001E-2</v>
      </c>
      <c r="G77" s="1">
        <v>6.9120499999999997E-4</v>
      </c>
      <c r="H77">
        <v>1.6250000000000001E-2</v>
      </c>
      <c r="I77" s="1">
        <v>7.92712E-4</v>
      </c>
      <c r="J77">
        <v>1.635E-2</v>
      </c>
      <c r="K77" s="1">
        <v>8.9122500000000005E-4</v>
      </c>
      <c r="L77">
        <v>1.6449999999999999E-2</v>
      </c>
      <c r="M77" s="1">
        <v>9.9449400000000006E-4</v>
      </c>
      <c r="N77">
        <v>1.6549999999999999E-2</v>
      </c>
      <c r="O77">
        <v>1.1000000000000001E-3</v>
      </c>
      <c r="P77" s="1">
        <v>0</v>
      </c>
      <c r="Q77" s="2">
        <f>G77/F77</f>
        <v>4.2799071207430338E-2</v>
      </c>
      <c r="R77" s="2">
        <f>I77/H77</f>
        <v>4.878227692307692E-2</v>
      </c>
      <c r="S77" s="2">
        <f>K77/J77</f>
        <v>5.450917431192661E-2</v>
      </c>
      <c r="T77" s="2">
        <f>M77/L77</f>
        <v>6.0455562310030402E-2</v>
      </c>
      <c r="U77" s="2">
        <f>O77/N77</f>
        <v>6.6465256797583097E-2</v>
      </c>
      <c r="V77" s="2"/>
    </row>
    <row r="78" spans="2:22" x14ac:dyDescent="0.3">
      <c r="B78">
        <v>65536</v>
      </c>
      <c r="C78">
        <v>1.6639999999999999E-2</v>
      </c>
      <c r="D78">
        <v>1.7350000000000001E-2</v>
      </c>
      <c r="E78" s="1">
        <v>7.1519699999999999E-4</v>
      </c>
      <c r="F78">
        <v>1.736E-2</v>
      </c>
      <c r="G78" s="1">
        <v>7.2604500000000003E-4</v>
      </c>
      <c r="H78">
        <v>1.7469999999999999E-2</v>
      </c>
      <c r="I78" s="1">
        <v>8.3317999999999999E-4</v>
      </c>
      <c r="J78">
        <v>1.7569999999999999E-2</v>
      </c>
      <c r="K78" s="1">
        <v>9.3725299999999998E-4</v>
      </c>
      <c r="L78">
        <v>1.7680000000000001E-2</v>
      </c>
      <c r="M78">
        <v>1.0499999999999999E-3</v>
      </c>
      <c r="N78">
        <v>1.779E-2</v>
      </c>
      <c r="O78">
        <v>1.15E-3</v>
      </c>
      <c r="P78" s="1">
        <v>0</v>
      </c>
      <c r="Q78" s="2">
        <f>G78/F78</f>
        <v>4.182286866359447E-2</v>
      </c>
      <c r="R78" s="2">
        <f>I78/H78</f>
        <v>4.7692043503148256E-2</v>
      </c>
      <c r="S78" s="2">
        <f>K78/J78</f>
        <v>5.3343938531587934E-2</v>
      </c>
      <c r="T78" s="2">
        <f>M78/L78</f>
        <v>5.9389140271493203E-2</v>
      </c>
      <c r="U78" s="2">
        <f>O78/N78</f>
        <v>6.4643057897695338E-2</v>
      </c>
      <c r="V78" s="2"/>
    </row>
    <row r="79" spans="2:22" x14ac:dyDescent="0.3">
      <c r="B79">
        <v>131072</v>
      </c>
      <c r="C79">
        <v>1.7919999999999998E-2</v>
      </c>
      <c r="D79">
        <v>1.866E-2</v>
      </c>
      <c r="E79" s="1">
        <v>7.3689600000000001E-4</v>
      </c>
      <c r="F79">
        <v>1.8669999999999999E-2</v>
      </c>
      <c r="G79" s="1">
        <v>7.4810000000000002E-4</v>
      </c>
      <c r="H79">
        <v>1.8780000000000002E-2</v>
      </c>
      <c r="I79" s="1">
        <v>8.5879299999999995E-4</v>
      </c>
      <c r="J79">
        <v>1.8890000000000001E-2</v>
      </c>
      <c r="K79" s="1">
        <v>9.6639399999999998E-4</v>
      </c>
      <c r="L79">
        <v>1.9E-2</v>
      </c>
      <c r="M79">
        <v>1.08E-3</v>
      </c>
      <c r="N79">
        <v>1.9109999999999999E-2</v>
      </c>
      <c r="O79">
        <v>1.1900000000000001E-3</v>
      </c>
      <c r="P79" s="1">
        <v>0</v>
      </c>
      <c r="Q79" s="2">
        <f>G79/F79</f>
        <v>4.0069630423138727E-2</v>
      </c>
      <c r="R79" s="2">
        <f>I79/H79</f>
        <v>4.5729126730564423E-2</v>
      </c>
      <c r="S79" s="2">
        <f>K79/J79</f>
        <v>5.1159025939650604E-2</v>
      </c>
      <c r="T79" s="2">
        <f>M79/L79</f>
        <v>5.6842105263157895E-2</v>
      </c>
      <c r="U79" s="2">
        <f>O79/N79</f>
        <v>6.2271062271062279E-2</v>
      </c>
      <c r="V79" s="2"/>
    </row>
    <row r="80" spans="2:22" x14ac:dyDescent="0.3">
      <c r="B80">
        <v>262144</v>
      </c>
      <c r="C80">
        <v>1.9290000000000002E-2</v>
      </c>
      <c r="D80">
        <v>2.0039999999999999E-2</v>
      </c>
      <c r="E80" s="1">
        <v>7.4721100000000001E-4</v>
      </c>
      <c r="F80">
        <v>2.0049999999999998E-2</v>
      </c>
      <c r="G80" s="1">
        <v>7.5858800000000004E-4</v>
      </c>
      <c r="H80">
        <v>2.017E-2</v>
      </c>
      <c r="I80" s="1">
        <v>8.7101400000000003E-4</v>
      </c>
      <c r="J80">
        <v>2.027E-2</v>
      </c>
      <c r="K80" s="1">
        <v>9.8036400000000006E-4</v>
      </c>
      <c r="L80">
        <v>2.0389999999999998E-2</v>
      </c>
      <c r="M80">
        <v>1.1000000000000001E-3</v>
      </c>
      <c r="N80">
        <v>2.0500000000000001E-2</v>
      </c>
      <c r="O80">
        <v>1.2099999999999999E-3</v>
      </c>
      <c r="P80" s="1">
        <v>0</v>
      </c>
      <c r="Q80" s="2">
        <f>G80/F80</f>
        <v>3.7834812967581052E-2</v>
      </c>
      <c r="R80" s="2">
        <f>I80/H80</f>
        <v>4.3183639067922656E-2</v>
      </c>
      <c r="S80" s="2">
        <f>K80/J80</f>
        <v>4.836526887025161E-2</v>
      </c>
      <c r="T80" s="2">
        <f>M80/L80</f>
        <v>5.3948013732221682E-2</v>
      </c>
      <c r="U80" s="2">
        <f>O80/N80</f>
        <v>5.9024390243902436E-2</v>
      </c>
      <c r="V80" s="2"/>
    </row>
    <row r="81" spans="2:22" x14ac:dyDescent="0.3">
      <c r="B81">
        <v>524288</v>
      </c>
      <c r="C81">
        <v>2.0719999999999999E-2</v>
      </c>
      <c r="D81">
        <v>2.147E-2</v>
      </c>
      <c r="E81" s="1">
        <v>7.4839299999999997E-4</v>
      </c>
      <c r="F81">
        <v>2.1479999999999999E-2</v>
      </c>
      <c r="G81" s="1">
        <v>7.5980500000000001E-4</v>
      </c>
      <c r="H81">
        <v>2.1590000000000002E-2</v>
      </c>
      <c r="I81" s="1">
        <v>8.7261200000000004E-4</v>
      </c>
      <c r="J81">
        <v>2.1700000000000001E-2</v>
      </c>
      <c r="K81" s="1">
        <v>9.8237699999999999E-4</v>
      </c>
      <c r="L81">
        <v>2.1819999999999999E-2</v>
      </c>
      <c r="M81">
        <v>1.1000000000000001E-3</v>
      </c>
      <c r="N81">
        <v>2.1930000000000002E-2</v>
      </c>
      <c r="O81">
        <v>1.2099999999999999E-3</v>
      </c>
      <c r="P81" s="1">
        <v>0</v>
      </c>
      <c r="Q81" s="2">
        <f>G81/F81</f>
        <v>3.5372672253258845E-2</v>
      </c>
      <c r="R81" s="2">
        <f>I81/H81</f>
        <v>4.0417415470125055E-2</v>
      </c>
      <c r="S81" s="2">
        <f>K81/J81</f>
        <v>4.5270829493087555E-2</v>
      </c>
      <c r="T81" s="2">
        <f>M81/L81</f>
        <v>5.0412465627864347E-2</v>
      </c>
      <c r="U81" s="2">
        <f>O81/N81</f>
        <v>5.5175558595531228E-2</v>
      </c>
      <c r="V81" s="2"/>
    </row>
    <row r="82" spans="2:22" x14ac:dyDescent="0.3">
      <c r="B82" s="1">
        <v>1048580</v>
      </c>
      <c r="C82">
        <v>2.2169999999999999E-2</v>
      </c>
      <c r="D82">
        <v>2.291E-2</v>
      </c>
      <c r="E82" s="1">
        <v>7.4328000000000003E-4</v>
      </c>
      <c r="F82">
        <v>2.2929999999999999E-2</v>
      </c>
      <c r="G82" s="1">
        <v>7.5462900000000004E-4</v>
      </c>
      <c r="H82">
        <v>2.3040000000000001E-2</v>
      </c>
      <c r="I82" s="1">
        <v>8.6684299999999995E-4</v>
      </c>
      <c r="J82">
        <v>2.315E-2</v>
      </c>
      <c r="K82" s="1">
        <v>9.7608600000000003E-4</v>
      </c>
      <c r="L82">
        <v>2.3259999999999999E-2</v>
      </c>
      <c r="M82">
        <v>1.09E-3</v>
      </c>
      <c r="N82">
        <v>2.3369999999999998E-2</v>
      </c>
      <c r="O82">
        <v>1.1999999999999999E-3</v>
      </c>
      <c r="P82" s="1">
        <v>0</v>
      </c>
      <c r="Q82" s="2">
        <f>G82/F82</f>
        <v>3.2910117749672924E-2</v>
      </c>
      <c r="R82" s="2">
        <f>I82/H82</f>
        <v>3.7623394097222221E-2</v>
      </c>
      <c r="S82" s="2">
        <f>K82/J82</f>
        <v>4.2163542116630669E-2</v>
      </c>
      <c r="T82" s="2">
        <f>M82/L82</f>
        <v>4.6861564918314703E-2</v>
      </c>
      <c r="U82" s="2">
        <f>O82/N82</f>
        <v>5.1347881899871627E-2</v>
      </c>
      <c r="V82" s="2"/>
    </row>
    <row r="83" spans="2:22" x14ac:dyDescent="0.3">
      <c r="B83" s="1">
        <v>2097150</v>
      </c>
      <c r="C83">
        <v>2.3630000000000002E-2</v>
      </c>
      <c r="D83">
        <v>2.4369999999999999E-2</v>
      </c>
      <c r="E83" s="1">
        <v>7.3509499999999995E-4</v>
      </c>
      <c r="F83">
        <v>2.4379999999999999E-2</v>
      </c>
      <c r="G83" s="1">
        <v>7.4633299999999996E-4</v>
      </c>
      <c r="H83">
        <v>2.4490000000000001E-2</v>
      </c>
      <c r="I83" s="1">
        <v>8.5744399999999996E-4</v>
      </c>
      <c r="J83">
        <v>2.46E-2</v>
      </c>
      <c r="K83" s="1">
        <v>9.6560500000000002E-4</v>
      </c>
      <c r="L83">
        <v>2.4709999999999999E-2</v>
      </c>
      <c r="M83">
        <v>1.08E-3</v>
      </c>
      <c r="N83">
        <v>2.4830000000000001E-2</v>
      </c>
      <c r="O83">
        <v>1.1900000000000001E-3</v>
      </c>
      <c r="P83" s="1">
        <v>0</v>
      </c>
      <c r="Q83" s="2">
        <f>G83/F83</f>
        <v>3.0612510254306807E-2</v>
      </c>
      <c r="R83" s="2">
        <f>I83/H83</f>
        <v>3.5012004899959162E-2</v>
      </c>
      <c r="S83" s="2">
        <f>K83/J83</f>
        <v>3.9252235772357723E-2</v>
      </c>
      <c r="T83" s="2">
        <f>M83/L83</f>
        <v>4.3707001214083371E-2</v>
      </c>
      <c r="U83" s="2">
        <f>O83/N83</f>
        <v>4.7925896093435359E-2</v>
      </c>
      <c r="V83" s="2"/>
    </row>
    <row r="84" spans="2:22" x14ac:dyDescent="0.3">
      <c r="B84" s="1">
        <v>4194300</v>
      </c>
      <c r="C84">
        <v>2.5100000000000001E-2</v>
      </c>
      <c r="D84">
        <v>2.5829999999999999E-2</v>
      </c>
      <c r="E84" s="1">
        <v>7.2608299999999998E-4</v>
      </c>
      <c r="F84">
        <v>2.5839999999999998E-2</v>
      </c>
      <c r="G84" s="1">
        <v>7.3718899999999996E-4</v>
      </c>
      <c r="H84">
        <v>2.5950000000000001E-2</v>
      </c>
      <c r="I84" s="1">
        <v>8.4699600000000003E-4</v>
      </c>
      <c r="J84">
        <v>2.606E-2</v>
      </c>
      <c r="K84" s="1">
        <v>9.5388999999999999E-4</v>
      </c>
      <c r="L84">
        <v>2.6169999999999999E-2</v>
      </c>
      <c r="M84">
        <v>1.07E-3</v>
      </c>
      <c r="N84">
        <v>2.6280000000000001E-2</v>
      </c>
      <c r="O84">
        <v>1.1800000000000001E-3</v>
      </c>
      <c r="P84" s="1">
        <v>0</v>
      </c>
      <c r="Q84" s="2">
        <f>G84/F84</f>
        <v>2.8528986068111457E-2</v>
      </c>
      <c r="R84" s="2">
        <f>I84/H84</f>
        <v>3.2639537572254337E-2</v>
      </c>
      <c r="S84" s="2">
        <f>K84/J84</f>
        <v>3.6603607060629317E-2</v>
      </c>
      <c r="T84" s="2">
        <f>M84/L84</f>
        <v>4.0886511272449369E-2</v>
      </c>
      <c r="U84" s="2">
        <f>O84/N84</f>
        <v>4.4901065449010652E-2</v>
      </c>
      <c r="V84" s="2"/>
    </row>
    <row r="85" spans="2:22" x14ac:dyDescent="0.3">
      <c r="B85" s="1">
        <v>8388610</v>
      </c>
      <c r="C85">
        <v>2.6579999999999999E-2</v>
      </c>
      <c r="D85">
        <v>2.7289999999999998E-2</v>
      </c>
      <c r="E85" s="1">
        <v>7.1825399999999998E-4</v>
      </c>
      <c r="F85">
        <v>2.7310000000000001E-2</v>
      </c>
      <c r="G85" s="1">
        <v>7.2924199999999995E-4</v>
      </c>
      <c r="H85">
        <v>2.741E-2</v>
      </c>
      <c r="I85" s="1">
        <v>8.3790799999999995E-4</v>
      </c>
      <c r="J85">
        <v>2.7519999999999999E-2</v>
      </c>
      <c r="K85" s="1">
        <v>9.43741E-4</v>
      </c>
      <c r="L85">
        <v>2.7629999999999998E-2</v>
      </c>
      <c r="M85">
        <v>1.06E-3</v>
      </c>
      <c r="N85">
        <v>2.7740000000000001E-2</v>
      </c>
      <c r="O85">
        <v>1.16E-3</v>
      </c>
      <c r="P85" s="1">
        <v>0</v>
      </c>
      <c r="Q85" s="2">
        <f>G85/F85</f>
        <v>2.670238008055657E-2</v>
      </c>
      <c r="R85" s="2">
        <f>I85/H85</f>
        <v>3.0569427216344397E-2</v>
      </c>
      <c r="S85" s="2">
        <f>K85/J85</f>
        <v>3.4292914244186047E-2</v>
      </c>
      <c r="T85" s="2">
        <f>M85/L85</f>
        <v>3.8364096996018823E-2</v>
      </c>
      <c r="U85" s="2">
        <f>O85/N85</f>
        <v>4.1816870944484497E-2</v>
      </c>
      <c r="V85" s="2"/>
    </row>
    <row r="86" spans="2:22" x14ac:dyDescent="0.3">
      <c r="B86" s="1">
        <v>16777200</v>
      </c>
      <c r="C86">
        <v>2.8080000000000001E-2</v>
      </c>
      <c r="D86">
        <v>2.879E-2</v>
      </c>
      <c r="E86" s="1">
        <v>7.1452400000000002E-4</v>
      </c>
      <c r="F86">
        <v>2.8799999999999999E-2</v>
      </c>
      <c r="G86" s="1">
        <v>7.2545599999999997E-4</v>
      </c>
      <c r="H86">
        <v>2.8910000000000002E-2</v>
      </c>
      <c r="I86" s="1">
        <v>8.3363800000000004E-4</v>
      </c>
      <c r="J86">
        <v>2.9020000000000001E-2</v>
      </c>
      <c r="K86" s="1">
        <v>9.3911899999999998E-4</v>
      </c>
      <c r="L86">
        <v>2.913E-2</v>
      </c>
      <c r="M86">
        <v>1.0499999999999999E-3</v>
      </c>
      <c r="N86">
        <v>2.9239999999999999E-2</v>
      </c>
      <c r="O86">
        <v>1.16E-3</v>
      </c>
      <c r="P86" s="1">
        <v>0</v>
      </c>
      <c r="Q86" s="2">
        <f>G86/F86</f>
        <v>2.5189444444444445E-2</v>
      </c>
      <c r="R86" s="2">
        <f>I86/H86</f>
        <v>2.8835627810446213E-2</v>
      </c>
      <c r="S86" s="2">
        <f>K86/J86</f>
        <v>3.2361095796002756E-2</v>
      </c>
      <c r="T86" s="2">
        <f>M86/L86</f>
        <v>3.6045314109165803E-2</v>
      </c>
      <c r="U86" s="2">
        <f>O86/N86</f>
        <v>3.9671682626538987E-2</v>
      </c>
      <c r="V86" s="2"/>
    </row>
    <row r="87" spans="2:22" x14ac:dyDescent="0.3">
      <c r="B87" s="1">
        <v>33554400</v>
      </c>
      <c r="C87">
        <v>2.9649999999999999E-2</v>
      </c>
      <c r="D87">
        <v>3.0370000000000001E-2</v>
      </c>
      <c r="E87" s="1">
        <v>7.1846200000000001E-4</v>
      </c>
      <c r="F87">
        <v>3.0380000000000001E-2</v>
      </c>
      <c r="G87" s="1">
        <v>7.2953700000000005E-4</v>
      </c>
      <c r="H87">
        <v>3.049E-2</v>
      </c>
      <c r="I87" s="1">
        <v>8.3924100000000001E-4</v>
      </c>
      <c r="J87">
        <v>3.0599999999999999E-2</v>
      </c>
      <c r="K87" s="1">
        <v>9.4640499999999999E-4</v>
      </c>
      <c r="L87">
        <v>3.0710000000000001E-2</v>
      </c>
      <c r="M87">
        <v>1.06E-3</v>
      </c>
      <c r="N87">
        <v>3.083E-2</v>
      </c>
      <c r="O87">
        <v>1.17E-3</v>
      </c>
      <c r="P87" s="1">
        <v>0</v>
      </c>
      <c r="Q87" s="2">
        <f>G87/F87</f>
        <v>2.4013726135615539E-2</v>
      </c>
      <c r="R87" s="2">
        <f>I87/H87</f>
        <v>2.7525122991144638E-2</v>
      </c>
      <c r="S87" s="2">
        <f>K87/J87</f>
        <v>3.092826797385621E-2</v>
      </c>
      <c r="T87" s="2">
        <f>M87/L87</f>
        <v>3.4516444154998369E-2</v>
      </c>
      <c r="U87" s="2">
        <f>O87/N87</f>
        <v>3.7950048653908532E-2</v>
      </c>
      <c r="V87" s="2"/>
    </row>
    <row r="88" spans="2:22" x14ac:dyDescent="0.3">
      <c r="B88" s="1">
        <v>67108900</v>
      </c>
      <c r="C88">
        <v>3.141E-2</v>
      </c>
      <c r="D88">
        <v>3.2140000000000002E-2</v>
      </c>
      <c r="E88" s="1">
        <v>7.3812699999999999E-4</v>
      </c>
      <c r="F88">
        <v>3.2160000000000001E-2</v>
      </c>
      <c r="G88" s="1">
        <v>7.4961600000000004E-4</v>
      </c>
      <c r="H88">
        <v>3.227E-2</v>
      </c>
      <c r="I88" s="1">
        <v>8.6362600000000004E-4</v>
      </c>
      <c r="J88">
        <v>3.2379999999999999E-2</v>
      </c>
      <c r="K88" s="1">
        <v>9.7537800000000005E-4</v>
      </c>
      <c r="L88">
        <v>3.2500000000000001E-2</v>
      </c>
      <c r="M88">
        <v>1.09E-3</v>
      </c>
      <c r="N88">
        <v>3.2620000000000003E-2</v>
      </c>
      <c r="O88">
        <v>1.2099999999999999E-3</v>
      </c>
      <c r="P88" s="1">
        <v>0</v>
      </c>
      <c r="Q88" s="2">
        <f>G88/F88</f>
        <v>2.3308955223880597E-2</v>
      </c>
      <c r="R88" s="2">
        <f>I88/H88</f>
        <v>2.6762503873566781E-2</v>
      </c>
      <c r="S88" s="2">
        <f>K88/J88</f>
        <v>3.012285361334157E-2</v>
      </c>
      <c r="T88" s="2">
        <f>M88/L88</f>
        <v>3.3538461538461538E-2</v>
      </c>
      <c r="U88" s="2">
        <f>O88/N88</f>
        <v>3.7093807480073571E-2</v>
      </c>
      <c r="V88" s="2"/>
    </row>
    <row r="89" spans="2:22" x14ac:dyDescent="0.3">
      <c r="B89" s="1">
        <v>134218000</v>
      </c>
      <c r="C89">
        <v>3.3520000000000001E-2</v>
      </c>
      <c r="D89">
        <v>3.431E-2</v>
      </c>
      <c r="E89" s="1">
        <v>7.8678600000000004E-4</v>
      </c>
      <c r="F89">
        <v>3.4320000000000003E-2</v>
      </c>
      <c r="G89" s="1">
        <v>7.9922999999999995E-4</v>
      </c>
      <c r="H89">
        <v>3.4439999999999998E-2</v>
      </c>
      <c r="I89" s="1">
        <v>9.2303299999999997E-4</v>
      </c>
      <c r="J89">
        <v>3.4569999999999997E-2</v>
      </c>
      <c r="K89">
        <v>1.0399999999999999E-3</v>
      </c>
      <c r="L89">
        <v>3.4700000000000002E-2</v>
      </c>
      <c r="M89">
        <v>1.17E-3</v>
      </c>
      <c r="N89">
        <v>3.483E-2</v>
      </c>
      <c r="O89">
        <v>1.2999999999999999E-3</v>
      </c>
      <c r="P89" s="1">
        <v>0</v>
      </c>
      <c r="Q89" s="2">
        <f>G89/F89</f>
        <v>2.3287587412587407E-2</v>
      </c>
      <c r="R89" s="2">
        <f>I89/H89</f>
        <v>2.6801190476190475E-2</v>
      </c>
      <c r="S89" s="2">
        <f>K89/J89</f>
        <v>3.0083887763957189E-2</v>
      </c>
      <c r="T89" s="2">
        <f>M89/L89</f>
        <v>3.3717579250720463E-2</v>
      </c>
      <c r="U89" s="2">
        <f>O89/N89</f>
        <v>3.7324145851277635E-2</v>
      </c>
      <c r="V89" s="2"/>
    </row>
    <row r="90" spans="2:22" x14ac:dyDescent="0.3">
      <c r="B90" s="1">
        <v>268435000</v>
      </c>
      <c r="C90">
        <v>3.6339999999999997E-2</v>
      </c>
      <c r="D90">
        <v>3.7220000000000003E-2</v>
      </c>
      <c r="E90" s="1">
        <v>8.8182799999999997E-4</v>
      </c>
      <c r="F90">
        <v>3.7240000000000002E-2</v>
      </c>
      <c r="G90" s="1">
        <v>8.9608000000000005E-4</v>
      </c>
      <c r="H90">
        <v>3.7379999999999997E-2</v>
      </c>
      <c r="I90">
        <v>1.0399999999999999E-3</v>
      </c>
      <c r="J90">
        <v>3.7519999999999998E-2</v>
      </c>
      <c r="K90">
        <v>1.1800000000000001E-3</v>
      </c>
      <c r="L90">
        <v>3.7670000000000002E-2</v>
      </c>
      <c r="M90">
        <v>1.33E-3</v>
      </c>
      <c r="N90">
        <v>3.7830000000000003E-2</v>
      </c>
      <c r="O90">
        <v>1.49E-3</v>
      </c>
      <c r="P90" s="1">
        <v>0</v>
      </c>
      <c r="Q90" s="2">
        <f>G90/F90</f>
        <v>2.4062298603651985E-2</v>
      </c>
      <c r="R90" s="2">
        <f>I90/H90</f>
        <v>2.7822364901016586E-2</v>
      </c>
      <c r="S90" s="2">
        <f>K90/J90</f>
        <v>3.1449893390191899E-2</v>
      </c>
      <c r="T90" s="2">
        <f>M90/L90</f>
        <v>3.5306610034510216E-2</v>
      </c>
      <c r="U90" s="2">
        <f>O90/N90</f>
        <v>3.9386730108379592E-2</v>
      </c>
      <c r="V90" s="2"/>
    </row>
    <row r="91" spans="2:22" x14ac:dyDescent="0.3">
      <c r="B91" s="1">
        <v>536871000</v>
      </c>
      <c r="C91">
        <v>4.0430000000000001E-2</v>
      </c>
      <c r="D91">
        <v>4.1480000000000003E-2</v>
      </c>
      <c r="E91">
        <v>1.0499999999999999E-3</v>
      </c>
      <c r="F91">
        <v>4.1500000000000002E-2</v>
      </c>
      <c r="G91">
        <v>1.06E-3</v>
      </c>
      <c r="H91">
        <v>4.1669999999999999E-2</v>
      </c>
      <c r="I91">
        <v>1.24E-3</v>
      </c>
      <c r="J91">
        <v>4.1849999999999998E-2</v>
      </c>
      <c r="K91">
        <v>1.41E-3</v>
      </c>
      <c r="L91">
        <v>4.2040000000000001E-2</v>
      </c>
      <c r="M91">
        <v>1.6000000000000001E-3</v>
      </c>
      <c r="N91">
        <v>4.2229999999999997E-2</v>
      </c>
      <c r="O91">
        <v>1.8E-3</v>
      </c>
      <c r="P91" s="1">
        <v>0</v>
      </c>
      <c r="Q91" s="2">
        <f>G91/F91</f>
        <v>2.5542168674698794E-2</v>
      </c>
      <c r="R91" s="2">
        <f>I91/H91</f>
        <v>2.9757619390448766E-2</v>
      </c>
      <c r="S91" s="2">
        <f>K91/J91</f>
        <v>3.3691756272401438E-2</v>
      </c>
      <c r="T91" s="2">
        <f>M91/L91</f>
        <v>3.8058991436726926E-2</v>
      </c>
      <c r="U91" s="2">
        <f>O91/N91</f>
        <v>4.2623727208145869E-2</v>
      </c>
      <c r="V91" s="2"/>
    </row>
    <row r="92" spans="2:22" x14ac:dyDescent="0.3">
      <c r="B92" s="1">
        <v>1073740000</v>
      </c>
      <c r="C92">
        <v>4.6530000000000002E-2</v>
      </c>
      <c r="D92">
        <v>4.7809999999999998E-2</v>
      </c>
      <c r="E92">
        <v>1.2800000000000001E-3</v>
      </c>
      <c r="F92">
        <v>4.7840000000000001E-2</v>
      </c>
      <c r="G92">
        <v>1.2999999999999999E-3</v>
      </c>
      <c r="H92">
        <v>4.8059999999999999E-2</v>
      </c>
      <c r="I92">
        <v>1.5299999999999999E-3</v>
      </c>
      <c r="J92">
        <v>4.8280000000000003E-2</v>
      </c>
      <c r="K92">
        <v>1.75E-3</v>
      </c>
      <c r="L92">
        <v>4.8520000000000001E-2</v>
      </c>
      <c r="M92">
        <v>1.99E-3</v>
      </c>
      <c r="N92">
        <v>4.8770000000000001E-2</v>
      </c>
      <c r="O92">
        <v>2.2399999999999998E-3</v>
      </c>
      <c r="P92" s="1">
        <v>0</v>
      </c>
      <c r="Q92" s="2">
        <f>G92/F92</f>
        <v>2.717391304347826E-2</v>
      </c>
      <c r="R92" s="2">
        <f>I92/H92</f>
        <v>3.1835205992509365E-2</v>
      </c>
      <c r="S92" s="2">
        <f>K92/J92</f>
        <v>3.6246893123446561E-2</v>
      </c>
      <c r="T92" s="2">
        <f>M92/L92</f>
        <v>4.1014014839241553E-2</v>
      </c>
      <c r="U92" s="2">
        <f>O92/N92</f>
        <v>4.592987492310846E-2</v>
      </c>
      <c r="V92" s="2"/>
    </row>
    <row r="94" spans="2:22" x14ac:dyDescent="0.3">
      <c r="B94" t="s">
        <v>16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10</v>
      </c>
      <c r="M94" t="s">
        <v>11</v>
      </c>
      <c r="N94" t="s">
        <v>12</v>
      </c>
      <c r="O94" t="s">
        <v>13</v>
      </c>
    </row>
    <row r="95" spans="2:22" x14ac:dyDescent="0.3">
      <c r="B95" t="s">
        <v>14</v>
      </c>
    </row>
    <row r="96" spans="2:22" x14ac:dyDescent="0.3">
      <c r="B96" s="1">
        <v>9.9999999999999994E-12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2:22" x14ac:dyDescent="0.3">
      <c r="B97" s="1">
        <v>1.0000000000000001E-9</v>
      </c>
      <c r="C97" s="1">
        <v>1.4286E-7</v>
      </c>
      <c r="D97" s="1">
        <v>4.2426099999999999E-7</v>
      </c>
      <c r="E97" s="1">
        <v>2.8140099999999999E-7</v>
      </c>
      <c r="F97" s="1">
        <v>4.2878699999999999E-7</v>
      </c>
      <c r="G97" s="1">
        <v>2.8592600000000002E-7</v>
      </c>
      <c r="H97" s="1">
        <v>4.7366000000000002E-7</v>
      </c>
      <c r="I97" s="1">
        <v>3.30799E-7</v>
      </c>
      <c r="J97" s="1">
        <v>5.1777600000000002E-7</v>
      </c>
      <c r="K97" s="1">
        <v>3.7491600000000002E-7</v>
      </c>
      <c r="L97" s="1">
        <v>5.64958E-7</v>
      </c>
      <c r="M97" s="1">
        <v>4.22098E-7</v>
      </c>
      <c r="N97" s="1">
        <v>6.12532E-7</v>
      </c>
      <c r="O97" s="1">
        <v>4.6967100000000002E-7</v>
      </c>
      <c r="P97" s="1">
        <v>0</v>
      </c>
      <c r="Q97" s="2">
        <f>G97/F97</f>
        <v>0.66682525356412392</v>
      </c>
      <c r="R97" s="2">
        <f>I97/H97</f>
        <v>0.69838913988937212</v>
      </c>
      <c r="S97" s="2">
        <f>K97/J97</f>
        <v>0.72408918142208212</v>
      </c>
      <c r="T97" s="2">
        <f>M97/L97</f>
        <v>0.7471316451842438</v>
      </c>
      <c r="U97" s="2">
        <f>O97/N97</f>
        <v>0.76676973611174604</v>
      </c>
      <c r="V97" s="2"/>
    </row>
    <row r="98" spans="2:22" x14ac:dyDescent="0.3">
      <c r="B98" s="1">
        <v>1E-8</v>
      </c>
      <c r="C98" s="1">
        <v>1.4334300000000001E-6</v>
      </c>
      <c r="D98" s="1">
        <v>3.2766699999999999E-6</v>
      </c>
      <c r="E98" s="1">
        <v>1.84324E-6</v>
      </c>
      <c r="F98" s="1">
        <v>3.3013999999999998E-6</v>
      </c>
      <c r="G98" s="1">
        <v>1.86797E-6</v>
      </c>
      <c r="H98" s="1">
        <v>3.54511E-6</v>
      </c>
      <c r="I98" s="1">
        <v>2.1116799999999999E-6</v>
      </c>
      <c r="J98" s="1">
        <v>3.7826500000000001E-6</v>
      </c>
      <c r="K98" s="1">
        <v>2.34922E-6</v>
      </c>
      <c r="L98" s="1">
        <v>4.0352799999999996E-6</v>
      </c>
      <c r="M98" s="1">
        <v>2.6018499999999999E-6</v>
      </c>
      <c r="N98" s="1">
        <v>4.2892499999999996E-6</v>
      </c>
      <c r="O98" s="1">
        <v>2.8558100000000001E-6</v>
      </c>
      <c r="P98" s="1">
        <v>0</v>
      </c>
      <c r="Q98" s="2">
        <f>G98/F98</f>
        <v>0.56581147392015507</v>
      </c>
      <c r="R98" s="2">
        <f>I98/H98</f>
        <v>0.59565993720928267</v>
      </c>
      <c r="S98" s="2">
        <f>K98/J98</f>
        <v>0.62105137932401888</v>
      </c>
      <c r="T98" s="2">
        <f>M98/L98</f>
        <v>0.64477557938978214</v>
      </c>
      <c r="U98" s="2">
        <f>O98/N98</f>
        <v>0.66580637640613172</v>
      </c>
      <c r="V98" s="2"/>
    </row>
    <row r="99" spans="2:22" x14ac:dyDescent="0.3">
      <c r="B99" s="1">
        <v>9.9999999999999995E-8</v>
      </c>
      <c r="C99" s="1">
        <v>1.36354E-5</v>
      </c>
      <c r="D99" s="1">
        <v>2.3238700000000002E-5</v>
      </c>
      <c r="E99" s="1">
        <v>9.6033399999999994E-6</v>
      </c>
      <c r="F99" s="1">
        <v>2.3367099999999999E-5</v>
      </c>
      <c r="G99" s="1">
        <v>9.7317200000000001E-6</v>
      </c>
      <c r="H99" s="1">
        <v>2.4628099999999999E-5</v>
      </c>
      <c r="I99" s="1">
        <v>1.0992700000000001E-5</v>
      </c>
      <c r="J99" s="1">
        <v>2.5848599999999998E-5</v>
      </c>
      <c r="K99" s="1">
        <v>1.22132E-5</v>
      </c>
      <c r="L99" s="1">
        <v>2.7136199999999999E-5</v>
      </c>
      <c r="M99" s="1">
        <v>1.35009E-5</v>
      </c>
      <c r="N99" s="1">
        <v>2.8419400000000001E-5</v>
      </c>
      <c r="O99" s="1">
        <v>1.4783999999999999E-5</v>
      </c>
      <c r="P99" s="1">
        <v>0</v>
      </c>
      <c r="Q99" s="2">
        <f>G99/F99</f>
        <v>0.41647102122214569</v>
      </c>
      <c r="R99" s="2">
        <f>I99/H99</f>
        <v>0.44634787092792383</v>
      </c>
      <c r="S99" s="2">
        <f>K99/J99</f>
        <v>0.47248980602431084</v>
      </c>
      <c r="T99" s="2">
        <f>M99/L99</f>
        <v>0.49752360315740596</v>
      </c>
      <c r="U99" s="2">
        <f>O99/N99</f>
        <v>0.52020802691119439</v>
      </c>
      <c r="V99" s="2"/>
    </row>
    <row r="100" spans="2:22" x14ac:dyDescent="0.3">
      <c r="B100" s="1">
        <v>9.9999999999999995E-7</v>
      </c>
      <c r="C100" s="1">
        <v>1.0532200000000001E-4</v>
      </c>
      <c r="D100" s="1">
        <v>1.4426400000000001E-4</v>
      </c>
      <c r="E100" s="1">
        <v>3.8942200000000001E-5</v>
      </c>
      <c r="F100" s="1">
        <v>1.4484200000000001E-4</v>
      </c>
      <c r="G100" s="1">
        <v>3.9520100000000001E-5</v>
      </c>
      <c r="H100" s="1">
        <v>1.5052800000000001E-4</v>
      </c>
      <c r="I100" s="1">
        <v>4.52059E-5</v>
      </c>
      <c r="J100" s="1">
        <v>1.56026E-4</v>
      </c>
      <c r="K100" s="1">
        <v>5.07035E-5</v>
      </c>
      <c r="L100" s="1">
        <v>1.61793E-4</v>
      </c>
      <c r="M100" s="1">
        <v>5.6470700000000001E-5</v>
      </c>
      <c r="N100" s="1">
        <v>1.6748699999999999E-4</v>
      </c>
      <c r="O100" s="1">
        <v>6.2164500000000004E-5</v>
      </c>
      <c r="P100" s="1">
        <v>0</v>
      </c>
      <c r="Q100" s="2">
        <f>G100/F100</f>
        <v>0.27284972590823103</v>
      </c>
      <c r="R100" s="2">
        <f>I100/H100</f>
        <v>0.30031555590986392</v>
      </c>
      <c r="S100" s="2">
        <f>K100/J100</f>
        <v>0.32496827451834953</v>
      </c>
      <c r="T100" s="2">
        <f>M100/L100</f>
        <v>0.34903055138355799</v>
      </c>
      <c r="U100" s="2">
        <f>O100/N100</f>
        <v>0.37116014974296518</v>
      </c>
      <c r="V100" s="2"/>
    </row>
    <row r="101" spans="2:22" x14ac:dyDescent="0.3">
      <c r="B101" s="1">
        <v>1.0000000000000001E-5</v>
      </c>
      <c r="C101" s="1">
        <v>5.9353699999999999E-4</v>
      </c>
      <c r="D101" s="1">
        <v>7.0845399999999996E-4</v>
      </c>
      <c r="E101" s="1">
        <v>1.14918E-4</v>
      </c>
      <c r="F101" s="1">
        <v>7.10329E-4</v>
      </c>
      <c r="G101" s="1">
        <v>1.16792E-4</v>
      </c>
      <c r="H101" s="1">
        <v>7.2895900000000005E-4</v>
      </c>
      <c r="I101" s="1">
        <v>1.3542200000000001E-4</v>
      </c>
      <c r="J101" s="1">
        <v>7.4723300000000003E-4</v>
      </c>
      <c r="K101" s="1">
        <v>1.5369599999999999E-4</v>
      </c>
      <c r="L101" s="1">
        <v>7.6658100000000001E-4</v>
      </c>
      <c r="M101" s="1">
        <v>1.7304399999999999E-4</v>
      </c>
      <c r="N101" s="1">
        <v>7.8576000000000004E-4</v>
      </c>
      <c r="O101" s="1">
        <v>1.9222400000000001E-4</v>
      </c>
      <c r="P101" s="1">
        <v>0</v>
      </c>
      <c r="Q101" s="2">
        <f>G101/F101</f>
        <v>0.16441958585387897</v>
      </c>
      <c r="R101" s="2">
        <f>I101/H101</f>
        <v>0.1857745085800436</v>
      </c>
      <c r="S101" s="2">
        <f>K101/J101</f>
        <v>0.20568684734212753</v>
      </c>
      <c r="T101" s="2">
        <f>M101/L101</f>
        <v>0.22573478862638127</v>
      </c>
      <c r="U101" s="2">
        <f>O101/N101</f>
        <v>0.24463449399307677</v>
      </c>
      <c r="V101" s="2"/>
    </row>
    <row r="102" spans="2:22" x14ac:dyDescent="0.3">
      <c r="B102" s="1">
        <v>1E-4</v>
      </c>
      <c r="C102">
        <v>2.2899999999999999E-3</v>
      </c>
      <c r="D102">
        <v>2.5000000000000001E-3</v>
      </c>
      <c r="E102" s="1">
        <v>2.1050299999999999E-4</v>
      </c>
      <c r="F102">
        <v>2.5100000000000001E-3</v>
      </c>
      <c r="G102" s="1">
        <v>2.1413899999999999E-4</v>
      </c>
      <c r="H102">
        <v>2.5400000000000002E-3</v>
      </c>
      <c r="I102" s="1">
        <v>2.5067299999999998E-4</v>
      </c>
      <c r="J102">
        <v>2.5799999999999998E-3</v>
      </c>
      <c r="K102" s="1">
        <v>2.8722200000000001E-4</v>
      </c>
      <c r="L102">
        <v>2.6199999999999999E-3</v>
      </c>
      <c r="M102" s="1">
        <v>3.2665E-4</v>
      </c>
      <c r="N102">
        <v>2.66E-3</v>
      </c>
      <c r="O102" s="1">
        <v>3.6639700000000002E-4</v>
      </c>
      <c r="P102" s="1">
        <v>0</v>
      </c>
      <c r="Q102" s="2">
        <f>G102/F102</f>
        <v>8.5314342629482065E-2</v>
      </c>
      <c r="R102" s="2">
        <f>I102/H102</f>
        <v>9.8690157480314941E-2</v>
      </c>
      <c r="S102" s="2">
        <f>K102/J102</f>
        <v>0.1113263565891473</v>
      </c>
      <c r="T102" s="2">
        <f>M102/L102</f>
        <v>0.12467557251908397</v>
      </c>
      <c r="U102" s="2">
        <f>O102/N102</f>
        <v>0.13774323308270678</v>
      </c>
      <c r="V102" s="2"/>
    </row>
    <row r="103" spans="2:22" x14ac:dyDescent="0.3">
      <c r="B103" s="1">
        <v>1E-3</v>
      </c>
      <c r="C103">
        <v>5.6899999999999997E-3</v>
      </c>
      <c r="D103">
        <v>5.8999999999999999E-3</v>
      </c>
      <c r="E103" s="1">
        <v>2.0889699999999999E-4</v>
      </c>
      <c r="F103">
        <v>5.8999999999999999E-3</v>
      </c>
      <c r="G103" s="1">
        <v>2.1259299999999999E-4</v>
      </c>
      <c r="H103">
        <v>5.94E-3</v>
      </c>
      <c r="I103" s="1">
        <v>2.4995099999999999E-4</v>
      </c>
      <c r="J103">
        <v>5.9800000000000001E-3</v>
      </c>
      <c r="K103" s="1">
        <v>2.87779E-4</v>
      </c>
      <c r="L103">
        <v>6.0200000000000002E-3</v>
      </c>
      <c r="M103" s="1">
        <v>3.2916500000000002E-4</v>
      </c>
      <c r="N103">
        <v>6.0600000000000003E-3</v>
      </c>
      <c r="O103" s="1">
        <v>3.7154700000000001E-4</v>
      </c>
      <c r="P103" s="1">
        <v>0</v>
      </c>
      <c r="Q103" s="2">
        <f>G103/F103</f>
        <v>3.6032711864406777E-2</v>
      </c>
      <c r="R103" s="2">
        <f>I103/H103</f>
        <v>4.2079292929292932E-2</v>
      </c>
      <c r="S103" s="2">
        <f>K103/J103</f>
        <v>4.8123578595317726E-2</v>
      </c>
      <c r="T103" s="2">
        <f>M103/L103</f>
        <v>5.4678571428571431E-2</v>
      </c>
      <c r="U103" s="2">
        <f>O103/N103</f>
        <v>6.1311386138613859E-2</v>
      </c>
      <c r="V103" s="2"/>
    </row>
    <row r="104" spans="2:22" x14ac:dyDescent="0.3">
      <c r="B104">
        <v>0.01</v>
      </c>
      <c r="C104">
        <v>9.2200000000000008E-3</v>
      </c>
      <c r="D104">
        <v>9.3200000000000002E-3</v>
      </c>
      <c r="E104" s="1">
        <v>1.0458699999999999E-4</v>
      </c>
      <c r="F104">
        <v>9.3299999999999998E-3</v>
      </c>
      <c r="G104" s="1">
        <v>1.06469E-4</v>
      </c>
      <c r="H104">
        <v>9.3500000000000007E-3</v>
      </c>
      <c r="I104" s="1">
        <v>1.2556700000000001E-4</v>
      </c>
      <c r="J104">
        <v>9.3600000000000003E-3</v>
      </c>
      <c r="K104" s="1">
        <v>1.4504399999999999E-4</v>
      </c>
      <c r="L104">
        <v>9.3900000000000008E-3</v>
      </c>
      <c r="M104" s="1">
        <v>1.6653800000000001E-4</v>
      </c>
      <c r="N104">
        <v>9.41E-3</v>
      </c>
      <c r="O104" s="1">
        <v>1.8878699999999999E-4</v>
      </c>
      <c r="P104" s="1">
        <v>0</v>
      </c>
      <c r="Q104" s="2">
        <f>G104/F104</f>
        <v>1.1411468381564845E-2</v>
      </c>
      <c r="R104" s="2">
        <f>I104/H104</f>
        <v>1.3429625668449198E-2</v>
      </c>
      <c r="S104" s="2">
        <f>K104/J104</f>
        <v>1.5496153846153845E-2</v>
      </c>
      <c r="T104" s="2">
        <f>M104/L104</f>
        <v>1.7735676251331205E-2</v>
      </c>
      <c r="U104" s="2">
        <f>O104/N104</f>
        <v>2.0062380446333686E-2</v>
      </c>
      <c r="V104" s="2"/>
    </row>
    <row r="105" spans="2:22" x14ac:dyDescent="0.3">
      <c r="B105">
        <v>0.1</v>
      </c>
      <c r="C105">
        <v>1.1820000000000001E-2</v>
      </c>
      <c r="D105">
        <v>1.189E-2</v>
      </c>
      <c r="E105" s="1">
        <v>6.8501600000000002E-5</v>
      </c>
      <c r="F105">
        <v>1.189E-2</v>
      </c>
      <c r="G105" s="1">
        <v>6.9781400000000002E-5</v>
      </c>
      <c r="H105">
        <v>1.1900000000000001E-2</v>
      </c>
      <c r="I105" s="1">
        <v>8.2863900000000005E-5</v>
      </c>
      <c r="J105">
        <v>1.192E-2</v>
      </c>
      <c r="K105" s="1">
        <v>9.6392399999999995E-5</v>
      </c>
      <c r="L105">
        <v>1.193E-2</v>
      </c>
      <c r="M105" s="1">
        <v>1.11548E-4</v>
      </c>
      <c r="N105">
        <v>1.1950000000000001E-2</v>
      </c>
      <c r="O105" s="1">
        <v>1.2749500000000001E-4</v>
      </c>
      <c r="P105" s="1">
        <v>0</v>
      </c>
      <c r="Q105" s="2">
        <f>G105/F105</f>
        <v>5.8689150546677882E-3</v>
      </c>
      <c r="R105" s="2">
        <f>I105/H105</f>
        <v>6.9633529411764709E-3</v>
      </c>
      <c r="S105" s="2">
        <f>K105/J105</f>
        <v>8.0866107382550328E-3</v>
      </c>
      <c r="T105" s="2">
        <f>M105/L105</f>
        <v>9.3502095557418275E-3</v>
      </c>
      <c r="U105" s="2">
        <f>O105/N105</f>
        <v>1.0669037656903767E-2</v>
      </c>
      <c r="V105" s="2"/>
    </row>
    <row r="106" spans="2:22" x14ac:dyDescent="0.3">
      <c r="B106">
        <v>0.2</v>
      </c>
      <c r="C106">
        <v>1.2749999999999999E-2</v>
      </c>
      <c r="D106">
        <v>1.282E-2</v>
      </c>
      <c r="E106" s="1">
        <v>7.6178600000000003E-5</v>
      </c>
      <c r="F106">
        <v>1.282E-2</v>
      </c>
      <c r="G106" s="1">
        <v>7.7601200000000005E-5</v>
      </c>
      <c r="H106">
        <v>1.2840000000000001E-2</v>
      </c>
      <c r="I106" s="1">
        <v>9.2144600000000005E-5</v>
      </c>
      <c r="J106">
        <v>1.285E-2</v>
      </c>
      <c r="K106" s="1">
        <v>1.07185E-4</v>
      </c>
      <c r="L106">
        <v>1.2869999999999999E-2</v>
      </c>
      <c r="M106" s="1">
        <v>1.2403800000000001E-4</v>
      </c>
      <c r="N106">
        <v>1.289E-2</v>
      </c>
      <c r="O106" s="1">
        <v>1.41772E-4</v>
      </c>
      <c r="P106" s="1">
        <v>0</v>
      </c>
      <c r="Q106" s="2">
        <f>G106/F106</f>
        <v>6.0531357254290175E-3</v>
      </c>
      <c r="R106" s="2">
        <f>I106/H106</f>
        <v>7.1763707165109032E-3</v>
      </c>
      <c r="S106" s="2">
        <f>K106/J106</f>
        <v>8.3412451361867708E-3</v>
      </c>
      <c r="T106" s="2">
        <f>M106/L106</f>
        <v>9.6377622377622381E-3</v>
      </c>
      <c r="U106" s="2">
        <f>O106/N106</f>
        <v>1.0998603568657873E-2</v>
      </c>
      <c r="V106" s="2"/>
    </row>
    <row r="107" spans="2:22" x14ac:dyDescent="0.3">
      <c r="B107">
        <v>0.5</v>
      </c>
      <c r="C107">
        <v>1.417E-2</v>
      </c>
      <c r="D107">
        <v>1.426E-2</v>
      </c>
      <c r="E107" s="1">
        <v>8.1720199999999997E-5</v>
      </c>
      <c r="F107">
        <v>1.426E-2</v>
      </c>
      <c r="G107" s="1">
        <v>8.3223800000000001E-5</v>
      </c>
      <c r="H107">
        <v>1.427E-2</v>
      </c>
      <c r="I107" s="1">
        <v>9.8562599999999997E-5</v>
      </c>
      <c r="J107">
        <v>1.4290000000000001E-2</v>
      </c>
      <c r="K107" s="1">
        <v>1.14367E-4</v>
      </c>
      <c r="L107">
        <v>1.431E-2</v>
      </c>
      <c r="M107" s="1">
        <v>1.3200700000000001E-4</v>
      </c>
      <c r="N107">
        <v>1.4330000000000001E-2</v>
      </c>
      <c r="O107" s="1">
        <v>1.50493E-4</v>
      </c>
      <c r="P107" s="1">
        <v>0</v>
      </c>
      <c r="Q107" s="2">
        <f>G107/F107</f>
        <v>5.8361711079943897E-3</v>
      </c>
      <c r="R107" s="2">
        <f>I107/H107</f>
        <v>6.90697967764541E-3</v>
      </c>
      <c r="S107" s="2">
        <f>K107/J107</f>
        <v>8.0032890132960104E-3</v>
      </c>
      <c r="T107" s="2">
        <f>M107/L107</f>
        <v>9.2248078266946205E-3</v>
      </c>
      <c r="U107" s="2">
        <f>O107/N107</f>
        <v>1.0501953942777389E-2</v>
      </c>
      <c r="V107" s="2"/>
    </row>
    <row r="108" spans="2:22" x14ac:dyDescent="0.3">
      <c r="B108">
        <v>1</v>
      </c>
      <c r="C108">
        <v>1.5270000000000001E-2</v>
      </c>
      <c r="D108">
        <v>1.5339999999999999E-2</v>
      </c>
      <c r="E108" s="1">
        <v>7.62204E-5</v>
      </c>
      <c r="F108">
        <v>1.5350000000000001E-2</v>
      </c>
      <c r="G108" s="1">
        <v>7.75864E-5</v>
      </c>
      <c r="H108">
        <v>1.536E-2</v>
      </c>
      <c r="I108" s="1">
        <v>9.14777E-5</v>
      </c>
      <c r="J108">
        <v>1.537E-2</v>
      </c>
      <c r="K108" s="1">
        <v>1.05708E-4</v>
      </c>
      <c r="L108">
        <v>1.5389999999999999E-2</v>
      </c>
      <c r="M108" s="1">
        <v>1.21499E-4</v>
      </c>
      <c r="N108">
        <v>1.541E-2</v>
      </c>
      <c r="O108" s="1">
        <v>1.3794100000000001E-4</v>
      </c>
      <c r="P108" s="1">
        <v>0</v>
      </c>
      <c r="Q108" s="2">
        <f>G108/F108</f>
        <v>5.0544885993485337E-3</v>
      </c>
      <c r="R108" s="2">
        <f>I108/H108</f>
        <v>5.955579427083333E-3</v>
      </c>
      <c r="S108" s="2">
        <f>K108/J108</f>
        <v>6.8775536759921926E-3</v>
      </c>
      <c r="T108" s="2">
        <f>M108/L108</f>
        <v>7.8946718648473038E-3</v>
      </c>
      <c r="U108" s="2">
        <f>O108/N108</f>
        <v>8.9513951979234268E-3</v>
      </c>
      <c r="V108" s="2"/>
    </row>
    <row r="109" spans="2:22" x14ac:dyDescent="0.3">
      <c r="B109">
        <v>2</v>
      </c>
      <c r="C109">
        <v>1.619E-2</v>
      </c>
      <c r="D109">
        <v>1.626E-2</v>
      </c>
      <c r="E109" s="1">
        <v>6.5166000000000006E-5</v>
      </c>
      <c r="F109">
        <v>1.626E-2</v>
      </c>
      <c r="G109" s="1">
        <v>6.6274900000000005E-5</v>
      </c>
      <c r="H109">
        <v>1.627E-2</v>
      </c>
      <c r="I109" s="1">
        <v>7.7490000000000005E-5</v>
      </c>
      <c r="J109">
        <v>1.6279999999999999E-2</v>
      </c>
      <c r="K109" s="1">
        <v>8.8857500000000001E-5</v>
      </c>
      <c r="L109">
        <v>1.6289999999999999E-2</v>
      </c>
      <c r="M109" s="1">
        <v>1.01335E-4</v>
      </c>
      <c r="N109">
        <v>1.6310000000000002E-2</v>
      </c>
      <c r="O109" s="1">
        <v>1.14181E-4</v>
      </c>
      <c r="P109" s="1">
        <v>0</v>
      </c>
      <c r="Q109" s="2">
        <f>G109/F109</f>
        <v>4.0759471094710953E-3</v>
      </c>
      <c r="R109" s="2">
        <f>I109/H109</f>
        <v>4.762753534111863E-3</v>
      </c>
      <c r="S109" s="2">
        <f>K109/J109</f>
        <v>5.4580773955773959E-3</v>
      </c>
      <c r="T109" s="2">
        <f>M109/L109</f>
        <v>6.2206875383670973E-3</v>
      </c>
      <c r="U109" s="2">
        <f>O109/N109</f>
        <v>7.0006744328632731E-3</v>
      </c>
      <c r="V109" s="2"/>
    </row>
    <row r="110" spans="2:22" x14ac:dyDescent="0.3">
      <c r="B110">
        <v>4</v>
      </c>
      <c r="C110">
        <v>1.6840000000000001E-2</v>
      </c>
      <c r="D110">
        <v>1.6899999999999998E-2</v>
      </c>
      <c r="E110" s="1">
        <v>5.6626999999999998E-5</v>
      </c>
      <c r="F110">
        <v>1.6899999999999998E-2</v>
      </c>
      <c r="G110" s="1">
        <v>5.7507699999999998E-5</v>
      </c>
      <c r="H110">
        <v>1.6910000000000001E-2</v>
      </c>
      <c r="I110" s="1">
        <v>6.6330399999999998E-5</v>
      </c>
      <c r="J110">
        <v>1.6920000000000001E-2</v>
      </c>
      <c r="K110" s="1">
        <v>7.5104699999999999E-5</v>
      </c>
      <c r="L110">
        <v>1.6930000000000001E-2</v>
      </c>
      <c r="M110" s="1">
        <v>8.4551199999999998E-5</v>
      </c>
      <c r="N110">
        <v>1.694E-2</v>
      </c>
      <c r="O110" s="1">
        <v>9.40859E-5</v>
      </c>
      <c r="P110" s="1">
        <v>0</v>
      </c>
      <c r="Q110" s="2">
        <f>G110/F110</f>
        <v>3.4028224852071009E-3</v>
      </c>
      <c r="R110" s="2">
        <f>I110/H110</f>
        <v>3.9225547013601418E-3</v>
      </c>
      <c r="S110" s="2">
        <f>K110/J110</f>
        <v>4.438812056737588E-3</v>
      </c>
      <c r="T110" s="2">
        <f>M110/L110</f>
        <v>4.9941642055522737E-3</v>
      </c>
      <c r="U110" s="2">
        <f>O110/N110</f>
        <v>5.5540672963400239E-3</v>
      </c>
      <c r="V110" s="2"/>
    </row>
    <row r="111" spans="2:22" x14ac:dyDescent="0.3">
      <c r="B111">
        <v>8</v>
      </c>
      <c r="C111">
        <v>1.7219999999999999E-2</v>
      </c>
      <c r="D111">
        <v>1.728E-2</v>
      </c>
      <c r="E111" s="1">
        <v>5.7601900000000002E-5</v>
      </c>
      <c r="F111">
        <v>1.728E-2</v>
      </c>
      <c r="G111" s="1">
        <v>5.8410299999999999E-5</v>
      </c>
      <c r="H111">
        <v>1.729E-2</v>
      </c>
      <c r="I111" s="1">
        <v>6.6417599999999999E-5</v>
      </c>
      <c r="J111">
        <v>1.7299999999999999E-2</v>
      </c>
      <c r="K111" s="1">
        <v>7.4191300000000002E-5</v>
      </c>
      <c r="L111">
        <v>1.7309999999999999E-2</v>
      </c>
      <c r="M111" s="1">
        <v>8.2357700000000006E-5</v>
      </c>
      <c r="N111">
        <v>1.7309999999999999E-2</v>
      </c>
      <c r="O111" s="1">
        <v>9.0403900000000004E-5</v>
      </c>
      <c r="P111" s="1">
        <v>0</v>
      </c>
      <c r="Q111" s="2">
        <f>G111/F111</f>
        <v>3.3802256944444444E-3</v>
      </c>
      <c r="R111" s="2">
        <f>I111/H111</f>
        <v>3.8413880855986118E-3</v>
      </c>
      <c r="S111" s="2">
        <f>K111/J111</f>
        <v>4.2885144508670522E-3</v>
      </c>
      <c r="T111" s="2">
        <f>M111/L111</f>
        <v>4.7578105141536688E-3</v>
      </c>
      <c r="U111" s="2">
        <f>O111/N111</f>
        <v>5.2226400924321207E-3</v>
      </c>
      <c r="V111" s="2"/>
    </row>
    <row r="112" spans="2:22" x14ac:dyDescent="0.3">
      <c r="B112">
        <v>16</v>
      </c>
      <c r="C112">
        <v>1.7420000000000001E-2</v>
      </c>
      <c r="D112">
        <v>1.7489999999999999E-2</v>
      </c>
      <c r="E112" s="1">
        <v>7.0607599999999998E-5</v>
      </c>
      <c r="F112">
        <v>1.7489999999999999E-2</v>
      </c>
      <c r="G112" s="1">
        <v>7.1544800000000007E-5</v>
      </c>
      <c r="H112">
        <v>1.7500000000000002E-2</v>
      </c>
      <c r="I112" s="1">
        <v>8.0768999999999999E-5</v>
      </c>
      <c r="J112">
        <v>1.7510000000000001E-2</v>
      </c>
      <c r="K112" s="1">
        <v>8.9592200000000006E-5</v>
      </c>
      <c r="L112">
        <v>1.7520000000000001E-2</v>
      </c>
      <c r="M112" s="1">
        <v>9.8724699999999993E-5</v>
      </c>
      <c r="N112">
        <v>1.753E-2</v>
      </c>
      <c r="O112" s="1">
        <v>1.07599E-4</v>
      </c>
      <c r="P112" s="1">
        <v>0</v>
      </c>
      <c r="Q112" s="2">
        <f>G112/F112</f>
        <v>4.0906117781589488E-3</v>
      </c>
      <c r="R112" s="2">
        <f>I112/H112</f>
        <v>4.6153714285714284E-3</v>
      </c>
      <c r="S112" s="2">
        <f>K112/J112</f>
        <v>5.1166304968589373E-3</v>
      </c>
      <c r="T112" s="2">
        <f>M112/L112</f>
        <v>5.6349714611872142E-3</v>
      </c>
      <c r="U112" s="2">
        <f>O112/N112</f>
        <v>6.1379920136908151E-3</v>
      </c>
      <c r="V112" s="2"/>
    </row>
    <row r="113" spans="2:22" x14ac:dyDescent="0.3">
      <c r="B113">
        <v>32</v>
      </c>
      <c r="C113">
        <v>1.753E-2</v>
      </c>
      <c r="D113">
        <v>1.762E-2</v>
      </c>
      <c r="E113" s="1">
        <v>9.5102899999999994E-5</v>
      </c>
      <c r="F113">
        <v>1.763E-2</v>
      </c>
      <c r="G113" s="1">
        <v>9.6359800000000005E-5</v>
      </c>
      <c r="H113">
        <v>1.7639999999999999E-2</v>
      </c>
      <c r="I113" s="1">
        <v>1.08714E-4</v>
      </c>
      <c r="J113">
        <v>1.7649999999999999E-2</v>
      </c>
      <c r="K113" s="1">
        <v>1.20498E-4</v>
      </c>
      <c r="L113">
        <v>1.7659999999999999E-2</v>
      </c>
      <c r="M113" s="1">
        <v>1.3266100000000001E-4</v>
      </c>
      <c r="N113">
        <v>1.7670000000000002E-2</v>
      </c>
      <c r="O113" s="1">
        <v>1.44449E-4</v>
      </c>
      <c r="P113" s="1">
        <v>0</v>
      </c>
      <c r="Q113" s="2">
        <f>G113/F113</f>
        <v>5.4656721497447535E-3</v>
      </c>
      <c r="R113" s="2">
        <f>I113/H113</f>
        <v>6.1629251700680279E-3</v>
      </c>
      <c r="S113" s="2">
        <f>K113/J113</f>
        <v>6.8270821529745045E-3</v>
      </c>
      <c r="T113" s="2">
        <f>M113/L113</f>
        <v>7.511947904869763E-3</v>
      </c>
      <c r="U113" s="2">
        <f>O113/N113</f>
        <v>8.174816072439162E-3</v>
      </c>
      <c r="V113" s="2"/>
    </row>
    <row r="114" spans="2:22" x14ac:dyDescent="0.3">
      <c r="B114">
        <v>64</v>
      </c>
      <c r="C114">
        <v>1.762E-2</v>
      </c>
      <c r="D114">
        <v>1.7749999999999998E-2</v>
      </c>
      <c r="E114" s="1">
        <v>1.3014499999999999E-4</v>
      </c>
      <c r="F114">
        <v>1.7749999999999998E-2</v>
      </c>
      <c r="G114" s="1">
        <v>1.31896E-4</v>
      </c>
      <c r="H114">
        <v>1.7770000000000001E-2</v>
      </c>
      <c r="I114" s="1">
        <v>1.4909499999999999E-4</v>
      </c>
      <c r="J114">
        <v>1.7780000000000001E-2</v>
      </c>
      <c r="K114" s="1">
        <v>1.6552099999999999E-4</v>
      </c>
      <c r="L114">
        <v>1.78E-2</v>
      </c>
      <c r="M114" s="1">
        <v>1.82492E-4</v>
      </c>
      <c r="N114">
        <v>1.7819999999999999E-2</v>
      </c>
      <c r="O114" s="1">
        <v>1.9894199999999999E-4</v>
      </c>
      <c r="P114" s="1">
        <v>0</v>
      </c>
      <c r="Q114" s="2">
        <f>G114/F114</f>
        <v>7.4307605633802823E-3</v>
      </c>
      <c r="R114" s="2">
        <f>I114/H114</f>
        <v>8.3902644907146873E-3</v>
      </c>
      <c r="S114" s="2">
        <f>K114/J114</f>
        <v>9.3093925759280081E-3</v>
      </c>
      <c r="T114" s="2">
        <f>M114/L114</f>
        <v>1.0252359550561798E-2</v>
      </c>
      <c r="U114" s="2">
        <f>O114/N114</f>
        <v>1.1163973063973064E-2</v>
      </c>
      <c r="V114" s="2"/>
    </row>
    <row r="115" spans="2:22" x14ac:dyDescent="0.3">
      <c r="B115">
        <v>128</v>
      </c>
      <c r="C115">
        <v>1.7729999999999999E-2</v>
      </c>
      <c r="D115">
        <v>1.7909999999999999E-2</v>
      </c>
      <c r="E115" s="1">
        <v>1.75277E-4</v>
      </c>
      <c r="F115">
        <v>1.7909999999999999E-2</v>
      </c>
      <c r="G115" s="1">
        <v>1.7768999999999999E-4</v>
      </c>
      <c r="H115">
        <v>1.7930000000000001E-2</v>
      </c>
      <c r="I115" s="1">
        <v>2.01347E-4</v>
      </c>
      <c r="J115">
        <v>1.7950000000000001E-2</v>
      </c>
      <c r="K115" s="1">
        <v>2.2397699999999999E-4</v>
      </c>
      <c r="L115">
        <v>1.7979999999999999E-2</v>
      </c>
      <c r="M115" s="1">
        <v>2.4738700000000001E-4</v>
      </c>
      <c r="N115">
        <v>1.7999999999999999E-2</v>
      </c>
      <c r="O115" s="1">
        <v>2.7009499999999998E-4</v>
      </c>
      <c r="P115" s="1">
        <v>0</v>
      </c>
      <c r="Q115" s="2">
        <f>G115/F115</f>
        <v>9.921273031825795E-3</v>
      </c>
      <c r="R115" s="2">
        <f>I115/H115</f>
        <v>1.1229615170105966E-2</v>
      </c>
      <c r="S115" s="2">
        <f>K115/J115</f>
        <v>1.2477827298050139E-2</v>
      </c>
      <c r="T115" s="2">
        <f>M115/L115</f>
        <v>1.3759010011123472E-2</v>
      </c>
      <c r="U115" s="2">
        <f>O115/N115</f>
        <v>1.5005277777777777E-2</v>
      </c>
      <c r="V115" s="2"/>
    </row>
    <row r="116" spans="2:22" x14ac:dyDescent="0.3">
      <c r="B116">
        <v>256</v>
      </c>
      <c r="C116">
        <v>1.789E-2</v>
      </c>
      <c r="D116">
        <v>1.8120000000000001E-2</v>
      </c>
      <c r="E116" s="1">
        <v>2.30094E-4</v>
      </c>
      <c r="F116">
        <v>1.813E-2</v>
      </c>
      <c r="G116" s="1">
        <v>2.3332499999999999E-4</v>
      </c>
      <c r="H116">
        <v>1.8159999999999999E-2</v>
      </c>
      <c r="I116" s="1">
        <v>2.6498199999999998E-4</v>
      </c>
      <c r="J116">
        <v>1.8190000000000001E-2</v>
      </c>
      <c r="K116" s="1">
        <v>2.9532199999999999E-4</v>
      </c>
      <c r="L116">
        <v>1.822E-2</v>
      </c>
      <c r="M116" s="1">
        <v>3.2675800000000002E-4</v>
      </c>
      <c r="N116">
        <v>1.8249999999999999E-2</v>
      </c>
      <c r="O116" s="1">
        <v>3.5728300000000001E-4</v>
      </c>
      <c r="P116" s="1">
        <v>0</v>
      </c>
      <c r="Q116" s="2">
        <f>G116/F116</f>
        <v>1.2869553226696083E-2</v>
      </c>
      <c r="R116" s="2">
        <f>I116/H116</f>
        <v>1.4591519823788545E-2</v>
      </c>
      <c r="S116" s="2">
        <f>K116/J116</f>
        <v>1.6235404068169323E-2</v>
      </c>
      <c r="T116" s="2">
        <f>M116/L116</f>
        <v>1.7934028540065861E-2</v>
      </c>
      <c r="U116" s="2">
        <f>O116/N116</f>
        <v>1.9577150684931509E-2</v>
      </c>
      <c r="V116" s="2"/>
    </row>
    <row r="117" spans="2:22" x14ac:dyDescent="0.3">
      <c r="B117">
        <v>512</v>
      </c>
      <c r="C117">
        <v>1.813E-2</v>
      </c>
      <c r="D117">
        <v>1.8419999999999999E-2</v>
      </c>
      <c r="E117" s="1">
        <v>2.9350900000000001E-4</v>
      </c>
      <c r="F117">
        <v>1.8429999999999998E-2</v>
      </c>
      <c r="G117" s="1">
        <v>2.97695E-4</v>
      </c>
      <c r="H117">
        <v>1.847E-2</v>
      </c>
      <c r="I117" s="1">
        <v>3.3876300000000001E-4</v>
      </c>
      <c r="J117">
        <v>1.8509999999999999E-2</v>
      </c>
      <c r="K117" s="1">
        <v>3.7820699999999998E-4</v>
      </c>
      <c r="L117">
        <v>1.8550000000000001E-2</v>
      </c>
      <c r="M117" s="1">
        <v>4.1915300000000002E-4</v>
      </c>
      <c r="N117">
        <v>1.8589999999999999E-2</v>
      </c>
      <c r="O117" s="1">
        <v>4.5896499999999998E-4</v>
      </c>
      <c r="P117" s="1">
        <v>0</v>
      </c>
      <c r="Q117" s="2">
        <f>G117/F117</f>
        <v>1.6152740097666849E-2</v>
      </c>
      <c r="R117" s="2">
        <f>I117/H117</f>
        <v>1.8341256090958311E-2</v>
      </c>
      <c r="S117" s="2">
        <f>K117/J117</f>
        <v>2.043257698541329E-2</v>
      </c>
      <c r="T117" s="2">
        <f>M117/L117</f>
        <v>2.2595849056603775E-2</v>
      </c>
      <c r="U117" s="2">
        <f>O117/N117</f>
        <v>2.468881118881119E-2</v>
      </c>
      <c r="V117" s="2"/>
    </row>
    <row r="118" spans="2:22" x14ac:dyDescent="0.3">
      <c r="B118">
        <v>1024</v>
      </c>
      <c r="C118">
        <v>1.8460000000000001E-2</v>
      </c>
      <c r="D118">
        <v>1.882E-2</v>
      </c>
      <c r="E118" s="1">
        <v>3.6338800000000002E-4</v>
      </c>
      <c r="F118">
        <v>1.883E-2</v>
      </c>
      <c r="G118" s="1">
        <v>3.6864200000000003E-4</v>
      </c>
      <c r="H118">
        <v>1.8880000000000001E-2</v>
      </c>
      <c r="I118" s="1">
        <v>4.2025400000000001E-4</v>
      </c>
      <c r="J118">
        <v>1.8929999999999999E-2</v>
      </c>
      <c r="K118" s="1">
        <v>4.6993099999999998E-4</v>
      </c>
      <c r="L118">
        <v>1.898E-2</v>
      </c>
      <c r="M118" s="1">
        <v>5.2159500000000002E-4</v>
      </c>
      <c r="N118">
        <v>1.9029999999999998E-2</v>
      </c>
      <c r="O118" s="1">
        <v>5.7190599999999996E-4</v>
      </c>
      <c r="P118" s="1">
        <v>0</v>
      </c>
      <c r="Q118" s="2">
        <f>G118/F118</f>
        <v>1.9577376526818908E-2</v>
      </c>
      <c r="R118" s="2">
        <f>I118/H118</f>
        <v>2.2259216101694915E-2</v>
      </c>
      <c r="S118" s="2">
        <f>K118/J118</f>
        <v>2.4824669836238773E-2</v>
      </c>
      <c r="T118" s="2">
        <f>M118/L118</f>
        <v>2.7481296101159115E-2</v>
      </c>
      <c r="U118" s="2">
        <f>O118/N118</f>
        <v>3.0052863899106674E-2</v>
      </c>
      <c r="V118" s="2"/>
    </row>
    <row r="119" spans="2:22" x14ac:dyDescent="0.3">
      <c r="B119">
        <v>2048</v>
      </c>
      <c r="C119">
        <v>1.891E-2</v>
      </c>
      <c r="D119">
        <v>1.9349999999999999E-2</v>
      </c>
      <c r="E119" s="1">
        <v>4.3657499999999997E-4</v>
      </c>
      <c r="F119">
        <v>1.9359999999999999E-2</v>
      </c>
      <c r="G119" s="1">
        <v>4.4296199999999998E-4</v>
      </c>
      <c r="H119">
        <v>1.942E-2</v>
      </c>
      <c r="I119" s="1">
        <v>5.0578099999999996E-4</v>
      </c>
      <c r="J119">
        <v>1.9480000000000001E-2</v>
      </c>
      <c r="K119" s="1">
        <v>5.6636800000000004E-4</v>
      </c>
      <c r="L119">
        <v>1.9539999999999998E-2</v>
      </c>
      <c r="M119" s="1">
        <v>6.2949399999999997E-4</v>
      </c>
      <c r="N119">
        <v>1.9599999999999999E-2</v>
      </c>
      <c r="O119" s="1">
        <v>6.9106199999999999E-4</v>
      </c>
      <c r="P119" s="1">
        <v>0</v>
      </c>
      <c r="Q119" s="2">
        <f>G119/F119</f>
        <v>2.2880268595041324E-2</v>
      </c>
      <c r="R119" s="2">
        <f>I119/H119</f>
        <v>2.6044335736354271E-2</v>
      </c>
      <c r="S119" s="2">
        <f>K119/J119</f>
        <v>2.9074332648870636E-2</v>
      </c>
      <c r="T119" s="2">
        <f>M119/L119</f>
        <v>3.2215660184237466E-2</v>
      </c>
      <c r="U119" s="2">
        <f>O119/N119</f>
        <v>3.5258265306122451E-2</v>
      </c>
      <c r="V119" s="2"/>
    </row>
    <row r="120" spans="2:22" x14ac:dyDescent="0.3">
      <c r="B120">
        <v>4096</v>
      </c>
      <c r="C120">
        <v>1.95E-2</v>
      </c>
      <c r="D120">
        <v>2.001E-2</v>
      </c>
      <c r="E120" s="1">
        <v>5.0910099999999998E-4</v>
      </c>
      <c r="F120">
        <v>2.002E-2</v>
      </c>
      <c r="G120" s="1">
        <v>5.1662400000000003E-4</v>
      </c>
      <c r="H120">
        <v>2.01E-2</v>
      </c>
      <c r="I120" s="1">
        <v>5.9069899999999998E-4</v>
      </c>
      <c r="J120">
        <v>2.017E-2</v>
      </c>
      <c r="K120" s="1">
        <v>6.6227400000000002E-4</v>
      </c>
      <c r="L120">
        <v>2.0240000000000001E-2</v>
      </c>
      <c r="M120" s="1">
        <v>7.3698100000000005E-4</v>
      </c>
      <c r="N120">
        <v>2.0310000000000002E-2</v>
      </c>
      <c r="O120" s="1">
        <v>8.0995800000000005E-4</v>
      </c>
      <c r="P120" s="1">
        <v>0</v>
      </c>
      <c r="Q120" s="2">
        <f>G120/F120</f>
        <v>2.5805394605394608E-2</v>
      </c>
      <c r="R120" s="2">
        <f>I120/H120</f>
        <v>2.9388009950248754E-2</v>
      </c>
      <c r="S120" s="2">
        <f>K120/J120</f>
        <v>3.2834605850272681E-2</v>
      </c>
      <c r="T120" s="2">
        <f>M120/L120</f>
        <v>3.6412104743083006E-2</v>
      </c>
      <c r="U120" s="2">
        <f>O120/N120</f>
        <v>3.9879763663220089E-2</v>
      </c>
      <c r="V120" s="2"/>
    </row>
    <row r="121" spans="2:22" x14ac:dyDescent="0.3">
      <c r="B121">
        <v>8192</v>
      </c>
      <c r="C121">
        <v>2.0250000000000001E-2</v>
      </c>
      <c r="D121">
        <v>2.0820000000000002E-2</v>
      </c>
      <c r="E121" s="1">
        <v>5.7675399999999996E-4</v>
      </c>
      <c r="F121">
        <v>2.0830000000000001E-2</v>
      </c>
      <c r="G121" s="1">
        <v>5.8535E-4</v>
      </c>
      <c r="H121">
        <v>2.0920000000000001E-2</v>
      </c>
      <c r="I121" s="1">
        <v>6.7006599999999998E-4</v>
      </c>
      <c r="J121">
        <v>2.1000000000000001E-2</v>
      </c>
      <c r="K121" s="1">
        <v>7.5205699999999999E-4</v>
      </c>
      <c r="L121">
        <v>2.1090000000000001E-2</v>
      </c>
      <c r="M121" s="1">
        <v>8.3777000000000005E-4</v>
      </c>
      <c r="N121">
        <v>2.1170000000000001E-2</v>
      </c>
      <c r="O121" s="1">
        <v>9.21623E-4</v>
      </c>
      <c r="P121" s="1">
        <v>0</v>
      </c>
      <c r="Q121" s="2">
        <f>G121/F121</f>
        <v>2.810129620739318E-2</v>
      </c>
      <c r="R121" s="2">
        <f>I121/H121</f>
        <v>3.202992351816443E-2</v>
      </c>
      <c r="S121" s="2">
        <f>K121/J121</f>
        <v>3.5812238095238091E-2</v>
      </c>
      <c r="T121" s="2">
        <f>M121/L121</f>
        <v>3.9723565670934095E-2</v>
      </c>
      <c r="U121" s="2">
        <f>O121/N121</f>
        <v>4.3534388285309394E-2</v>
      </c>
      <c r="V121" s="2"/>
    </row>
    <row r="122" spans="2:22" x14ac:dyDescent="0.3">
      <c r="B122">
        <v>16384</v>
      </c>
      <c r="C122">
        <v>2.1149999999999999E-2</v>
      </c>
      <c r="D122">
        <v>2.1780000000000001E-2</v>
      </c>
      <c r="E122" s="1">
        <v>6.3575600000000002E-4</v>
      </c>
      <c r="F122">
        <v>2.179E-2</v>
      </c>
      <c r="G122" s="1">
        <v>6.4529699999999997E-4</v>
      </c>
      <c r="H122">
        <v>2.188E-2</v>
      </c>
      <c r="I122" s="1">
        <v>7.3940500000000005E-4</v>
      </c>
      <c r="J122">
        <v>2.198E-2</v>
      </c>
      <c r="K122" s="1">
        <v>8.3061500000000004E-4</v>
      </c>
      <c r="L122">
        <v>2.2069999999999999E-2</v>
      </c>
      <c r="M122" s="1">
        <v>9.2609699999999997E-4</v>
      </c>
      <c r="N122">
        <v>2.2169999999999999E-2</v>
      </c>
      <c r="O122">
        <v>1.0200000000000001E-3</v>
      </c>
      <c r="P122" s="1">
        <v>0</v>
      </c>
      <c r="Q122" s="2">
        <f>G122/F122</f>
        <v>2.9614364387333638E-2</v>
      </c>
      <c r="R122" s="2">
        <f>I122/H122</f>
        <v>3.3793647166361976E-2</v>
      </c>
      <c r="S122" s="2">
        <f>K122/J122</f>
        <v>3.7789581437670611E-2</v>
      </c>
      <c r="T122" s="2">
        <f>M122/L122</f>
        <v>4.1961803352967827E-2</v>
      </c>
      <c r="U122" s="2">
        <f>O122/N122</f>
        <v>4.6008119079837623E-2</v>
      </c>
      <c r="V122" s="2"/>
    </row>
    <row r="123" spans="2:22" x14ac:dyDescent="0.3">
      <c r="B123">
        <v>32768</v>
      </c>
      <c r="C123">
        <v>2.2190000000000001E-2</v>
      </c>
      <c r="D123">
        <v>2.2880000000000001E-2</v>
      </c>
      <c r="E123" s="1">
        <v>6.8336600000000003E-4</v>
      </c>
      <c r="F123">
        <v>2.2890000000000001E-2</v>
      </c>
      <c r="G123" s="1">
        <v>6.9367799999999998E-4</v>
      </c>
      <c r="H123">
        <v>2.299E-2</v>
      </c>
      <c r="I123" s="1">
        <v>7.9545799999999997E-4</v>
      </c>
      <c r="J123">
        <v>2.3089999999999999E-2</v>
      </c>
      <c r="K123" s="1">
        <v>8.9421900000000003E-4</v>
      </c>
      <c r="L123">
        <v>2.3189999999999999E-2</v>
      </c>
      <c r="M123" s="1">
        <v>9.9772599999999999E-4</v>
      </c>
      <c r="N123">
        <v>2.3290000000000002E-2</v>
      </c>
      <c r="O123">
        <v>1.1000000000000001E-3</v>
      </c>
      <c r="P123" s="1">
        <v>0</v>
      </c>
      <c r="Q123" s="2">
        <f>G123/F123</f>
        <v>3.0304849279161203E-2</v>
      </c>
      <c r="R123" s="2">
        <f>I123/H123</f>
        <v>3.4600173988690731E-2</v>
      </c>
      <c r="S123" s="2">
        <f>K123/J123</f>
        <v>3.8727544391511479E-2</v>
      </c>
      <c r="T123" s="2">
        <f>M123/L123</f>
        <v>4.30239758516602E-2</v>
      </c>
      <c r="U123" s="2">
        <f>O123/N123</f>
        <v>4.7230571060541002E-2</v>
      </c>
      <c r="V123" s="2"/>
    </row>
    <row r="124" spans="2:22" x14ac:dyDescent="0.3">
      <c r="B124">
        <v>65536</v>
      </c>
      <c r="C124">
        <v>2.3369999999999998E-2</v>
      </c>
      <c r="D124">
        <v>2.409E-2</v>
      </c>
      <c r="E124" s="1">
        <v>7.18317E-4</v>
      </c>
      <c r="F124">
        <v>2.41E-2</v>
      </c>
      <c r="G124" s="1">
        <v>7.2920099999999996E-4</v>
      </c>
      <c r="H124">
        <v>2.4209999999999999E-2</v>
      </c>
      <c r="I124" s="1">
        <v>8.36679E-4</v>
      </c>
      <c r="J124">
        <v>2.4320000000000001E-2</v>
      </c>
      <c r="K124" s="1">
        <v>9.4105999999999997E-4</v>
      </c>
      <c r="L124">
        <v>2.4420000000000001E-2</v>
      </c>
      <c r="M124">
        <v>1.0499999999999999E-3</v>
      </c>
      <c r="N124">
        <v>2.453E-2</v>
      </c>
      <c r="O124">
        <v>1.16E-3</v>
      </c>
      <c r="P124" s="1">
        <v>0</v>
      </c>
      <c r="Q124" s="2">
        <f>G124/F124</f>
        <v>3.0257302904564312E-2</v>
      </c>
      <c r="R124" s="2">
        <f>I124/H124</f>
        <v>3.4559231722428752E-2</v>
      </c>
      <c r="S124" s="2">
        <f>K124/J124</f>
        <v>3.8694901315789468E-2</v>
      </c>
      <c r="T124" s="2">
        <f>M124/L124</f>
        <v>4.2997542997542992E-2</v>
      </c>
      <c r="U124" s="2">
        <f>O124/N124</f>
        <v>4.7289033836119036E-2</v>
      </c>
      <c r="V124" s="2"/>
    </row>
    <row r="125" spans="2:22" x14ac:dyDescent="0.3">
      <c r="B125">
        <v>131072</v>
      </c>
      <c r="C125">
        <v>2.4670000000000001E-2</v>
      </c>
      <c r="D125">
        <v>2.5409999999999999E-2</v>
      </c>
      <c r="E125" s="1">
        <v>7.4075200000000001E-4</v>
      </c>
      <c r="F125">
        <v>2.5420000000000002E-2</v>
      </c>
      <c r="G125" s="1">
        <v>7.5200099999999997E-4</v>
      </c>
      <c r="H125">
        <v>2.5530000000000001E-2</v>
      </c>
      <c r="I125" s="1">
        <v>8.6313199999999996E-4</v>
      </c>
      <c r="J125">
        <v>2.564E-2</v>
      </c>
      <c r="K125" s="1">
        <v>9.7113600000000005E-4</v>
      </c>
      <c r="L125">
        <v>2.5749999999999999E-2</v>
      </c>
      <c r="M125">
        <v>1.08E-3</v>
      </c>
      <c r="N125">
        <v>2.5860000000000001E-2</v>
      </c>
      <c r="O125">
        <v>1.1999999999999999E-3</v>
      </c>
      <c r="P125" s="1">
        <v>0</v>
      </c>
      <c r="Q125" s="2">
        <f>G125/F125</f>
        <v>2.9583044846577495E-2</v>
      </c>
      <c r="R125" s="2">
        <f>I125/H125</f>
        <v>3.3808538973756359E-2</v>
      </c>
      <c r="S125" s="2">
        <f>K125/J125</f>
        <v>3.7875819032761313E-2</v>
      </c>
      <c r="T125" s="2">
        <f>M125/L125</f>
        <v>4.194174757281554E-2</v>
      </c>
      <c r="U125" s="2">
        <f>O125/N125</f>
        <v>4.640371229698375E-2</v>
      </c>
      <c r="V125" s="2"/>
    </row>
    <row r="126" spans="2:22" x14ac:dyDescent="0.3">
      <c r="B126">
        <v>262144</v>
      </c>
      <c r="C126">
        <v>2.6040000000000001E-2</v>
      </c>
      <c r="D126">
        <v>2.6790000000000001E-2</v>
      </c>
      <c r="E126" s="1">
        <v>7.5194900000000002E-4</v>
      </c>
      <c r="F126">
        <v>2.6800000000000001E-2</v>
      </c>
      <c r="G126" s="1">
        <v>7.6338399999999998E-4</v>
      </c>
      <c r="H126">
        <v>2.691E-2</v>
      </c>
      <c r="I126" s="1">
        <v>8.7637999999999995E-4</v>
      </c>
      <c r="J126">
        <v>2.7019999999999999E-2</v>
      </c>
      <c r="K126" s="1">
        <v>9.8625600000000003E-4</v>
      </c>
      <c r="L126">
        <v>2.7140000000000001E-2</v>
      </c>
      <c r="M126">
        <v>1.1000000000000001E-3</v>
      </c>
      <c r="N126">
        <v>2.725E-2</v>
      </c>
      <c r="O126">
        <v>1.2199999999999999E-3</v>
      </c>
      <c r="P126" s="1">
        <v>0</v>
      </c>
      <c r="Q126" s="2">
        <f>G126/F126</f>
        <v>2.8484477611940298E-2</v>
      </c>
      <c r="R126" s="2">
        <f>I126/H126</f>
        <v>3.2567075436640655E-2</v>
      </c>
      <c r="S126" s="2">
        <f>K126/J126</f>
        <v>3.6500962250185051E-2</v>
      </c>
      <c r="T126" s="2">
        <f>M126/L126</f>
        <v>4.0530582166543851E-2</v>
      </c>
      <c r="U126" s="2">
        <f>O126/N126</f>
        <v>4.4770642201834861E-2</v>
      </c>
      <c r="V126" s="2"/>
    </row>
    <row r="127" spans="2:22" x14ac:dyDescent="0.3">
      <c r="B127">
        <v>524288</v>
      </c>
      <c r="C127">
        <v>2.7459999999999998E-2</v>
      </c>
      <c r="D127">
        <v>2.8219999999999999E-2</v>
      </c>
      <c r="E127" s="1">
        <v>7.5418200000000005E-4</v>
      </c>
      <c r="F127">
        <v>2.8230000000000002E-2</v>
      </c>
      <c r="G127" s="1">
        <v>7.6566999999999998E-4</v>
      </c>
      <c r="H127">
        <v>2.8340000000000001E-2</v>
      </c>
      <c r="I127" s="1">
        <v>8.7921799999999997E-4</v>
      </c>
      <c r="J127">
        <v>2.845E-2</v>
      </c>
      <c r="K127" s="1">
        <v>9.89677E-4</v>
      </c>
      <c r="L127">
        <v>2.8570000000000002E-2</v>
      </c>
      <c r="M127">
        <v>1.1100000000000001E-3</v>
      </c>
      <c r="N127">
        <v>2.8680000000000001E-2</v>
      </c>
      <c r="O127">
        <v>1.2199999999999999E-3</v>
      </c>
      <c r="P127" s="1">
        <v>0</v>
      </c>
      <c r="Q127" s="2">
        <f>G127/F127</f>
        <v>2.7122564647538077E-2</v>
      </c>
      <c r="R127" s="2">
        <f>I127/H127</f>
        <v>3.1023923782639379E-2</v>
      </c>
      <c r="S127" s="2">
        <f>K127/J127</f>
        <v>3.4786537785588753E-2</v>
      </c>
      <c r="T127" s="2">
        <f>M127/L127</f>
        <v>3.885194259712986E-2</v>
      </c>
      <c r="U127" s="2">
        <f>O127/N127</f>
        <v>4.2538354253835425E-2</v>
      </c>
      <c r="V127" s="2"/>
    </row>
    <row r="128" spans="2:22" x14ac:dyDescent="0.3">
      <c r="B128" s="1">
        <v>1048580</v>
      </c>
      <c r="C128">
        <v>2.8920000000000001E-2</v>
      </c>
      <c r="D128">
        <v>2.9669999999999998E-2</v>
      </c>
      <c r="E128" s="1">
        <v>7.5042000000000001E-4</v>
      </c>
      <c r="F128">
        <v>2.9680000000000002E-2</v>
      </c>
      <c r="G128" s="1">
        <v>7.6186799999999996E-4</v>
      </c>
      <c r="H128">
        <v>2.98E-2</v>
      </c>
      <c r="I128" s="1">
        <v>8.75047E-4</v>
      </c>
      <c r="J128">
        <v>2.9909999999999999E-2</v>
      </c>
      <c r="K128" s="1">
        <v>9.8518999999999994E-4</v>
      </c>
      <c r="L128">
        <v>3.0020000000000002E-2</v>
      </c>
      <c r="M128">
        <v>1.1000000000000001E-3</v>
      </c>
      <c r="N128">
        <v>3.014E-2</v>
      </c>
      <c r="O128">
        <v>1.2099999999999999E-3</v>
      </c>
      <c r="P128" s="1">
        <v>0</v>
      </c>
      <c r="Q128" s="2">
        <f>G128/F128</f>
        <v>2.5669407008086252E-2</v>
      </c>
      <c r="R128" s="2">
        <f>I128/H128</f>
        <v>2.9363993288590604E-2</v>
      </c>
      <c r="S128" s="2">
        <f>K128/J128</f>
        <v>3.2938482113005679E-2</v>
      </c>
      <c r="T128" s="2">
        <f>M128/L128</f>
        <v>3.6642238507661559E-2</v>
      </c>
      <c r="U128" s="2">
        <f>O128/N128</f>
        <v>4.0145985401459854E-2</v>
      </c>
      <c r="V128" s="2"/>
    </row>
    <row r="129" spans="2:34" x14ac:dyDescent="0.3">
      <c r="B129" s="1">
        <v>2097150</v>
      </c>
      <c r="C129">
        <v>3.039E-2</v>
      </c>
      <c r="D129">
        <v>3.1140000000000001E-2</v>
      </c>
      <c r="E129" s="1">
        <v>7.4381499999999999E-4</v>
      </c>
      <c r="F129">
        <v>3.1150000000000001E-2</v>
      </c>
      <c r="G129" s="1">
        <v>7.5517300000000004E-4</v>
      </c>
      <c r="H129">
        <v>3.1260000000000003E-2</v>
      </c>
      <c r="I129" s="1">
        <v>8.6744399999999998E-4</v>
      </c>
      <c r="J129">
        <v>3.1370000000000002E-2</v>
      </c>
      <c r="K129" s="1">
        <v>9.7669399999999996E-4</v>
      </c>
      <c r="L129">
        <v>3.1480000000000001E-2</v>
      </c>
      <c r="M129">
        <v>1.09E-3</v>
      </c>
      <c r="N129">
        <v>3.1600000000000003E-2</v>
      </c>
      <c r="O129">
        <v>1.1999999999999999E-3</v>
      </c>
      <c r="P129" s="1">
        <v>0</v>
      </c>
      <c r="Q129" s="2">
        <f>G129/F129</f>
        <v>2.4243113964687001E-2</v>
      </c>
      <c r="R129" s="2">
        <f>I129/H129</f>
        <v>2.7749328214971208E-2</v>
      </c>
      <c r="S129" s="2">
        <f>K129/J129</f>
        <v>3.1134650940388902E-2</v>
      </c>
      <c r="T129" s="2">
        <f>M129/L129</f>
        <v>3.4625158831003811E-2</v>
      </c>
      <c r="U129" s="2">
        <f>O129/N129</f>
        <v>3.7974683544303792E-2</v>
      </c>
      <c r="V129" s="2"/>
    </row>
    <row r="130" spans="2:34" x14ac:dyDescent="0.3">
      <c r="B130" s="1">
        <v>4194300</v>
      </c>
      <c r="C130">
        <v>3.1870000000000002E-2</v>
      </c>
      <c r="D130">
        <v>3.261E-2</v>
      </c>
      <c r="E130" s="1">
        <v>7.3647100000000004E-4</v>
      </c>
      <c r="F130">
        <v>3.2620000000000003E-2</v>
      </c>
      <c r="G130" s="1">
        <v>7.4772200000000004E-4</v>
      </c>
      <c r="H130">
        <v>3.2730000000000002E-2</v>
      </c>
      <c r="I130" s="1">
        <v>8.5893999999999999E-4</v>
      </c>
      <c r="J130">
        <v>3.2840000000000001E-2</v>
      </c>
      <c r="K130" s="1">
        <v>9.6716300000000005E-4</v>
      </c>
      <c r="L130">
        <v>3.295E-2</v>
      </c>
      <c r="M130">
        <v>1.08E-3</v>
      </c>
      <c r="N130">
        <v>3.3059999999999999E-2</v>
      </c>
      <c r="O130">
        <v>1.1900000000000001E-3</v>
      </c>
      <c r="P130" s="1">
        <v>0</v>
      </c>
      <c r="Q130" s="2">
        <f>G130/F130</f>
        <v>2.2922194972409562E-2</v>
      </c>
      <c r="R130" s="2">
        <f>I130/H130</f>
        <v>2.6243201955392603E-2</v>
      </c>
      <c r="S130" s="2">
        <f>K130/J130</f>
        <v>2.9450761266747869E-2</v>
      </c>
      <c r="T130" s="2">
        <f>M130/L130</f>
        <v>3.2776934749620637E-2</v>
      </c>
      <c r="U130" s="2">
        <f>O130/N130</f>
        <v>3.5995160314579555E-2</v>
      </c>
      <c r="V130" s="2"/>
    </row>
    <row r="131" spans="2:34" x14ac:dyDescent="0.3">
      <c r="B131" s="1">
        <v>8388610</v>
      </c>
      <c r="C131">
        <v>3.3349999999999998E-2</v>
      </c>
      <c r="D131">
        <v>3.4079999999999999E-2</v>
      </c>
      <c r="E131" s="1">
        <v>7.3039899999999996E-4</v>
      </c>
      <c r="F131">
        <v>3.4090000000000002E-2</v>
      </c>
      <c r="G131" s="1">
        <v>7.4155399999999995E-4</v>
      </c>
      <c r="H131">
        <v>3.4209999999999997E-2</v>
      </c>
      <c r="I131" s="1">
        <v>8.5185700000000003E-4</v>
      </c>
      <c r="J131">
        <v>3.431E-2</v>
      </c>
      <c r="K131" s="1">
        <v>9.5925199999999996E-4</v>
      </c>
      <c r="L131">
        <v>3.4430000000000002E-2</v>
      </c>
      <c r="M131">
        <v>1.07E-3</v>
      </c>
      <c r="N131">
        <v>3.4540000000000001E-2</v>
      </c>
      <c r="O131">
        <v>1.1800000000000001E-3</v>
      </c>
      <c r="P131" s="1">
        <v>0</v>
      </c>
      <c r="Q131" s="2">
        <f>G131/F131</f>
        <v>2.1752830742153121E-2</v>
      </c>
      <c r="R131" s="2">
        <f>I131/H131</f>
        <v>2.4900818474130375E-2</v>
      </c>
      <c r="S131" s="2">
        <f>K131/J131</f>
        <v>2.7958379481200814E-2</v>
      </c>
      <c r="T131" s="2">
        <f>M131/L131</f>
        <v>3.1077548649433632E-2</v>
      </c>
      <c r="U131" s="2">
        <f>O131/N131</f>
        <v>3.4163288940359006E-2</v>
      </c>
      <c r="V131" s="2"/>
    </row>
    <row r="132" spans="2:34" x14ac:dyDescent="0.3">
      <c r="B132" s="1">
        <v>16777200</v>
      </c>
      <c r="C132">
        <v>3.4869999999999998E-2</v>
      </c>
      <c r="D132">
        <v>3.56E-2</v>
      </c>
      <c r="E132" s="1">
        <v>7.2838799999999995E-4</v>
      </c>
      <c r="F132">
        <v>3.5610000000000003E-2</v>
      </c>
      <c r="G132" s="1">
        <v>7.3952800000000004E-4</v>
      </c>
      <c r="H132">
        <v>3.5720000000000002E-2</v>
      </c>
      <c r="I132" s="1">
        <v>8.4974699999999998E-4</v>
      </c>
      <c r="J132">
        <v>3.5830000000000001E-2</v>
      </c>
      <c r="K132" s="1">
        <v>9.5718300000000001E-4</v>
      </c>
      <c r="L132">
        <v>3.594E-2</v>
      </c>
      <c r="M132">
        <v>1.07E-3</v>
      </c>
      <c r="N132">
        <v>3.6049999999999999E-2</v>
      </c>
      <c r="O132">
        <v>1.1800000000000001E-3</v>
      </c>
      <c r="P132" s="1">
        <v>0</v>
      </c>
      <c r="Q132" s="2">
        <f>G132/F132</f>
        <v>2.0767424880651503E-2</v>
      </c>
      <c r="R132" s="2">
        <f>I132/H132</f>
        <v>2.3789109742441208E-2</v>
      </c>
      <c r="S132" s="2">
        <f>K132/J132</f>
        <v>2.6714568797097403E-2</v>
      </c>
      <c r="T132" s="2">
        <f>M132/L132</f>
        <v>2.9771841958820256E-2</v>
      </c>
      <c r="U132" s="2">
        <f>O132/N132</f>
        <v>3.2732316227461859E-2</v>
      </c>
      <c r="V132" s="2"/>
    </row>
    <row r="133" spans="2:34" x14ac:dyDescent="0.3">
      <c r="B133" s="1">
        <v>33554400</v>
      </c>
      <c r="C133">
        <v>3.6459999999999999E-2</v>
      </c>
      <c r="D133">
        <v>3.7199999999999997E-2</v>
      </c>
      <c r="E133" s="1">
        <v>7.3449699999999997E-4</v>
      </c>
      <c r="F133">
        <v>3.721E-2</v>
      </c>
      <c r="G133" s="1">
        <v>7.4581400000000003E-4</v>
      </c>
      <c r="H133">
        <v>3.7319999999999999E-2</v>
      </c>
      <c r="I133" s="1">
        <v>8.5789199999999996E-4</v>
      </c>
      <c r="J133">
        <v>3.7429999999999998E-2</v>
      </c>
      <c r="K133" s="1">
        <v>9.67325E-4</v>
      </c>
      <c r="L133">
        <v>3.755E-2</v>
      </c>
      <c r="M133">
        <v>1.08E-3</v>
      </c>
      <c r="N133">
        <v>3.7659999999999999E-2</v>
      </c>
      <c r="O133">
        <v>1.1999999999999999E-3</v>
      </c>
      <c r="P133" s="1">
        <v>0</v>
      </c>
      <c r="Q133" s="2">
        <f>G133/F133</f>
        <v>2.0043375436710562E-2</v>
      </c>
      <c r="R133" s="2">
        <f>I133/H133</f>
        <v>2.2987459807073955E-2</v>
      </c>
      <c r="S133" s="2">
        <f>K133/J133</f>
        <v>2.5843574672722417E-2</v>
      </c>
      <c r="T133" s="2">
        <f>M133/L133</f>
        <v>2.8761651131824235E-2</v>
      </c>
      <c r="U133" s="2">
        <f>O133/N133</f>
        <v>3.1864046733935211E-2</v>
      </c>
      <c r="V133" s="2"/>
    </row>
    <row r="134" spans="2:34" x14ac:dyDescent="0.3">
      <c r="B134" s="1">
        <v>67108900</v>
      </c>
      <c r="C134">
        <v>3.8240000000000003E-2</v>
      </c>
      <c r="D134">
        <v>3.8989999999999997E-2</v>
      </c>
      <c r="E134" s="1">
        <v>7.5634599999999997E-4</v>
      </c>
      <c r="F134">
        <v>3.9E-2</v>
      </c>
      <c r="G134" s="1">
        <v>7.6811299999999996E-4</v>
      </c>
      <c r="H134">
        <v>3.9120000000000002E-2</v>
      </c>
      <c r="I134" s="1">
        <v>8.84846E-4</v>
      </c>
      <c r="J134">
        <v>3.9230000000000001E-2</v>
      </c>
      <c r="K134" s="1">
        <v>9.9920900000000003E-4</v>
      </c>
      <c r="L134">
        <v>3.9359999999999999E-2</v>
      </c>
      <c r="M134">
        <v>1.1199999999999999E-3</v>
      </c>
      <c r="N134">
        <v>3.9480000000000001E-2</v>
      </c>
      <c r="O134">
        <v>1.24E-3</v>
      </c>
      <c r="P134" s="1">
        <v>0</v>
      </c>
      <c r="Q134" s="2">
        <f>G134/F134</f>
        <v>1.9695205128205127E-2</v>
      </c>
      <c r="R134" s="2">
        <f>I134/H134</f>
        <v>2.2618762781186092E-2</v>
      </c>
      <c r="S134" s="2">
        <f>K134/J134</f>
        <v>2.5470532755544225E-2</v>
      </c>
      <c r="T134" s="2">
        <f>M134/L134</f>
        <v>2.8455284552845527E-2</v>
      </c>
      <c r="U134" s="2">
        <f>O134/N134</f>
        <v>3.1408308004052685E-2</v>
      </c>
      <c r="V134" s="2"/>
    </row>
    <row r="135" spans="2:34" x14ac:dyDescent="0.3">
      <c r="B135" s="1">
        <v>134218000</v>
      </c>
      <c r="C135">
        <v>4.0379999999999999E-2</v>
      </c>
      <c r="D135">
        <v>4.1180000000000001E-2</v>
      </c>
      <c r="E135" s="1">
        <v>8.0712899999999996E-4</v>
      </c>
      <c r="F135">
        <v>4.1200000000000001E-2</v>
      </c>
      <c r="G135" s="1">
        <v>8.1987100000000001E-4</v>
      </c>
      <c r="H135">
        <v>4.1320000000000003E-2</v>
      </c>
      <c r="I135" s="1">
        <v>9.4660000000000002E-4</v>
      </c>
      <c r="J135">
        <v>4.1450000000000001E-2</v>
      </c>
      <c r="K135">
        <v>1.07E-3</v>
      </c>
      <c r="L135">
        <v>4.1579999999999999E-2</v>
      </c>
      <c r="M135">
        <v>1.1999999999999999E-3</v>
      </c>
      <c r="N135">
        <v>4.1709999999999997E-2</v>
      </c>
      <c r="O135">
        <v>1.34E-3</v>
      </c>
      <c r="P135" s="1">
        <v>0</v>
      </c>
      <c r="Q135" s="2">
        <f>G135/F135</f>
        <v>1.9899781553398058E-2</v>
      </c>
      <c r="R135" s="2">
        <f>I135/H135</f>
        <v>2.2909002904162631E-2</v>
      </c>
      <c r="S135" s="2">
        <f>K135/J135</f>
        <v>2.5814234016887816E-2</v>
      </c>
      <c r="T135" s="2">
        <f>M135/L135</f>
        <v>2.8860028860028857E-2</v>
      </c>
      <c r="U135" s="2">
        <f>O135/N135</f>
        <v>3.2126588348117963E-2</v>
      </c>
      <c r="V135" s="2"/>
    </row>
    <row r="136" spans="2:34" x14ac:dyDescent="0.3">
      <c r="B136" s="1">
        <v>268435000</v>
      </c>
      <c r="C136">
        <v>4.3229999999999998E-2</v>
      </c>
      <c r="D136">
        <v>4.4130000000000003E-2</v>
      </c>
      <c r="E136" s="1">
        <v>9.0353099999999995E-4</v>
      </c>
      <c r="F136">
        <v>4.4150000000000002E-2</v>
      </c>
      <c r="G136" s="1">
        <v>9.1811200000000001E-4</v>
      </c>
      <c r="H136">
        <v>4.4290000000000003E-2</v>
      </c>
      <c r="I136">
        <v>1.06E-3</v>
      </c>
      <c r="J136">
        <v>4.444E-2</v>
      </c>
      <c r="K136">
        <v>1.2099999999999999E-3</v>
      </c>
      <c r="L136">
        <v>4.4589999999999998E-2</v>
      </c>
      <c r="M136">
        <v>1.3600000000000001E-3</v>
      </c>
      <c r="N136">
        <v>4.4749999999999998E-2</v>
      </c>
      <c r="O136">
        <v>1.5200000000000001E-3</v>
      </c>
      <c r="P136" s="1">
        <v>0</v>
      </c>
      <c r="Q136" s="2">
        <f>G136/F136</f>
        <v>2.0795288788221969E-2</v>
      </c>
      <c r="R136" s="2">
        <f>I136/H136</f>
        <v>2.3933167757958906E-2</v>
      </c>
      <c r="S136" s="2">
        <f>K136/J136</f>
        <v>2.7227722772277224E-2</v>
      </c>
      <c r="T136" s="2">
        <f>M136/L136</f>
        <v>3.0500112132765198E-2</v>
      </c>
      <c r="U136" s="2">
        <f>O136/N136</f>
        <v>3.3966480446927377E-2</v>
      </c>
      <c r="V136" s="2"/>
    </row>
    <row r="137" spans="2:34" x14ac:dyDescent="0.3">
      <c r="B137" s="1">
        <v>536871000</v>
      </c>
      <c r="C137">
        <v>4.7359999999999999E-2</v>
      </c>
      <c r="D137">
        <v>4.8430000000000001E-2</v>
      </c>
      <c r="E137">
        <v>1.07E-3</v>
      </c>
      <c r="F137">
        <v>4.8439999999999997E-2</v>
      </c>
      <c r="G137">
        <v>1.09E-3</v>
      </c>
      <c r="H137">
        <v>4.8619999999999997E-2</v>
      </c>
      <c r="I137">
        <v>1.2700000000000001E-3</v>
      </c>
      <c r="J137">
        <v>4.8800000000000003E-2</v>
      </c>
      <c r="K137">
        <v>1.4400000000000001E-3</v>
      </c>
      <c r="L137">
        <v>4.9000000000000002E-2</v>
      </c>
      <c r="M137">
        <v>1.64E-3</v>
      </c>
      <c r="N137">
        <v>4.9189999999999998E-2</v>
      </c>
      <c r="O137">
        <v>1.8400000000000001E-3</v>
      </c>
      <c r="P137" s="1">
        <v>0</v>
      </c>
      <c r="Q137" s="2">
        <f>G137/F137</f>
        <v>2.2502064409578863E-2</v>
      </c>
      <c r="R137" s="2">
        <f>I137/H137</f>
        <v>2.612093788564377E-2</v>
      </c>
      <c r="S137" s="2">
        <f>K137/J137</f>
        <v>2.9508196721311476E-2</v>
      </c>
      <c r="T137" s="2">
        <f>M137/L137</f>
        <v>3.346938775510204E-2</v>
      </c>
      <c r="U137" s="2">
        <f>O137/N137</f>
        <v>3.7405976824557839E-2</v>
      </c>
      <c r="V137" s="2"/>
    </row>
    <row r="138" spans="2:34" x14ac:dyDescent="0.3">
      <c r="B138" s="1">
        <v>1073740000</v>
      </c>
      <c r="C138">
        <v>5.3499999999999999E-2</v>
      </c>
      <c r="D138">
        <v>5.4800000000000001E-2</v>
      </c>
      <c r="E138">
        <v>1.31E-3</v>
      </c>
      <c r="F138">
        <v>5.4829999999999997E-2</v>
      </c>
      <c r="G138">
        <v>1.33E-3</v>
      </c>
      <c r="H138">
        <v>5.5050000000000002E-2</v>
      </c>
      <c r="I138">
        <v>1.5499999999999999E-3</v>
      </c>
      <c r="J138">
        <v>5.5280000000000003E-2</v>
      </c>
      <c r="K138">
        <v>1.7799999999999999E-3</v>
      </c>
      <c r="L138">
        <v>5.5530000000000003E-2</v>
      </c>
      <c r="M138">
        <v>2.0300000000000001E-3</v>
      </c>
      <c r="N138">
        <v>5.5780000000000003E-2</v>
      </c>
      <c r="O138">
        <v>2.2799999999999999E-3</v>
      </c>
      <c r="P138" s="1">
        <v>0</v>
      </c>
      <c r="Q138" s="2">
        <f>G138/F138</f>
        <v>2.4256793726062376E-2</v>
      </c>
      <c r="R138" s="2">
        <f>I138/H138</f>
        <v>2.8156221616712079E-2</v>
      </c>
      <c r="S138" s="2">
        <f>K138/J138</f>
        <v>3.2199710564399416E-2</v>
      </c>
      <c r="T138" s="2">
        <f>M138/L138</f>
        <v>3.6556816135422297E-2</v>
      </c>
      <c r="U138" s="2">
        <f>O138/N138</f>
        <v>4.0874865543205449E-2</v>
      </c>
      <c r="V138" s="2"/>
    </row>
    <row r="141" spans="2:34" ht="18.75" x14ac:dyDescent="0.3">
      <c r="Z141" s="3">
        <f>-21.7%</f>
        <v>-0.217</v>
      </c>
      <c r="AA141" s="2">
        <v>-0.246</v>
      </c>
      <c r="AB141" s="2">
        <v>-0.251</v>
      </c>
      <c r="AC141" s="2">
        <v>-0.222</v>
      </c>
      <c r="AD141" s="2">
        <v>-0.17499999999999999</v>
      </c>
      <c r="AE141" s="2">
        <v>-8.5999999999999993E-2</v>
      </c>
      <c r="AF141" s="2">
        <v>4.569</v>
      </c>
    </row>
    <row r="142" spans="2:34" x14ac:dyDescent="0.3">
      <c r="Z142">
        <f>1/(1+Z141)</f>
        <v>1.277139208173691</v>
      </c>
      <c r="AA142">
        <f t="shared" ref="AA142:AF142" si="0">1/(1+AA141)</f>
        <v>1.3262599469496021</v>
      </c>
      <c r="AB142">
        <f t="shared" si="0"/>
        <v>1.3351134846461949</v>
      </c>
      <c r="AC142">
        <f t="shared" si="0"/>
        <v>1.2853470437017995</v>
      </c>
      <c r="AD142">
        <f t="shared" si="0"/>
        <v>1.2121212121212122</v>
      </c>
      <c r="AE142">
        <f t="shared" si="0"/>
        <v>1.0940919037199124</v>
      </c>
      <c r="AF142">
        <f t="shared" si="0"/>
        <v>0.17956545160711079</v>
      </c>
    </row>
    <row r="143" spans="2:34" x14ac:dyDescent="0.3">
      <c r="Z143" s="4">
        <f>Z142-1</f>
        <v>0.27713920817369098</v>
      </c>
      <c r="AA143" s="4">
        <f t="shared" ref="AA143:AF143" si="1">AA142-1</f>
        <v>0.32625994694960214</v>
      </c>
      <c r="AB143" s="4">
        <f t="shared" si="1"/>
        <v>0.33511348464619495</v>
      </c>
      <c r="AC143" s="4">
        <f t="shared" si="1"/>
        <v>0.28534704370179953</v>
      </c>
      <c r="AD143" s="4">
        <f t="shared" si="1"/>
        <v>0.21212121212121215</v>
      </c>
      <c r="AE143" s="4">
        <f t="shared" si="1"/>
        <v>9.4091903719912384E-2</v>
      </c>
      <c r="AF143" s="4">
        <f t="shared" si="1"/>
        <v>-0.82043454839288921</v>
      </c>
    </row>
    <row r="144" spans="2:34" x14ac:dyDescent="0.3">
      <c r="AH144">
        <f>3.926/0.148</f>
        <v>26.527027027027028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Myung/Josh Jin</dc:creator>
  <cp:lastModifiedBy>Myung/Josh Jin</cp:lastModifiedBy>
  <dcterms:created xsi:type="dcterms:W3CDTF">2026-09-20T15:18:53Z</dcterms:created>
  <dcterms:modified xsi:type="dcterms:W3CDTF">2026-09-20T17:38:09Z</dcterms:modified>
</cp:coreProperties>
</file>